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ate1904="1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New Working\PK\BSD Technologies (Private) Limited\2024\04.Apr\Payroll\"/>
    </mc:Choice>
  </mc:AlternateContent>
  <xr:revisionPtr revIDLastSave="0" documentId="13_ncr:1_{2B7CD835-A70E-44BE-AA93-4B3184DC4AC4}" xr6:coauthVersionLast="47" xr6:coauthVersionMax="47" xr10:uidLastSave="{00000000-0000-0000-0000-000000000000}"/>
  <bookViews>
    <workbookView xWindow="-108" yWindow="-108" windowWidth="23256" windowHeight="12456" tabRatio="898" xr2:uid="{00000000-000D-0000-FFFF-FFFF00000000}"/>
  </bookViews>
  <sheets>
    <sheet name="Master" sheetId="18" r:id="rId1"/>
    <sheet name="Brandwise Allocation" sheetId="29" r:id="rId2"/>
    <sheet name="&lt;35K" sheetId="26" r:id="rId3"/>
    <sheet name="Payroll DES Apr24" sheetId="13" r:id="rId4"/>
    <sheet name="Payroll HW Apr24" sheetId="12" r:id="rId5"/>
    <sheet name="Payroll Support Apr24" sheetId="16" r:id="rId6"/>
    <sheet name="Summary Dept Wise" sheetId="5" r:id="rId7"/>
    <sheet name="Loan Status" sheetId="11" r:id="rId8"/>
    <sheet name="Journal Entry" sheetId="20" r:id="rId9"/>
    <sheet name="EntryFor QBUpload" sheetId="27" r:id="rId10"/>
    <sheet name="Salary Slip" sheetId="22" r:id="rId11"/>
    <sheet name="Salary Slip (Faisal)" sheetId="25" r:id="rId12"/>
    <sheet name="Attendance Summary" sheetId="23" r:id="rId13"/>
    <sheet name="Leaves Monitor" sheetId="24" r:id="rId14"/>
  </sheets>
  <definedNames>
    <definedName name="_xlnm._FilterDatabase" localSheetId="2" hidden="1">'&lt;35K'!$A$7:$AU$50</definedName>
    <definedName name="_xlnm._FilterDatabase" localSheetId="12" hidden="1">'Attendance Summary'!$A$1:$L$43</definedName>
    <definedName name="_xlnm._FilterDatabase" localSheetId="8" hidden="1">'Journal Entry'!$A$5:$L$131</definedName>
    <definedName name="_xlnm._FilterDatabase" localSheetId="7" hidden="1">'Loan Status'!$A$4:$AT$42</definedName>
    <definedName name="_xlnm._FilterDatabase" localSheetId="0" hidden="1">Master!$A$7:$BH$47</definedName>
    <definedName name="_xlnm._FilterDatabase" localSheetId="3" hidden="1">'Payroll DES Apr24'!$A$5:$AV$17</definedName>
    <definedName name="_xlnm._FilterDatabase" localSheetId="4" hidden="1">'Payroll HW Apr24'!$A$5:$AU$43</definedName>
    <definedName name="_xlnm._FilterDatabase" localSheetId="5" hidden="1">'Payroll Support Apr24'!$A$5:$AU$17</definedName>
    <definedName name="_Hlk139903454" localSheetId="2">'&lt;35K'!$I$22</definedName>
    <definedName name="_Hlk139903454" localSheetId="0">Master!$I$25</definedName>
    <definedName name="_xlnm.Print_Area" localSheetId="2">'&lt;35K'!$A$1:$AU$57</definedName>
    <definedName name="_xlnm.Print_Area" localSheetId="8">'Journal Entry'!$A$1:$D$138</definedName>
    <definedName name="_xlnm.Print_Area" localSheetId="0">Master!$A$1:$AI$18</definedName>
    <definedName name="_xlnm.Print_Area" localSheetId="3">'Payroll DES Apr24'!$A$1:$AX$18</definedName>
    <definedName name="_xlnm.Print_Area" localSheetId="4">'Payroll HW Apr24'!$A$1:$AY$54</definedName>
    <definedName name="_xlnm.Print_Area" localSheetId="5">'Payroll Support Apr24'!$A$1:$AY$17</definedName>
    <definedName name="_xlnm.Print_Area" localSheetId="10">'Salary Slip'!$A$1:$E$46</definedName>
    <definedName name="_xlnm.Print_Area" localSheetId="11">'Salary Slip (Faisal)'!$A$1:$E$45</definedName>
    <definedName name="_xlnm.Print_Area" localSheetId="6">'Summary Dept Wise'!$A$1:$Z$74</definedName>
    <definedName name="_xlnm.Print_Titles" localSheetId="2">'&lt;35K'!$7:$7</definedName>
    <definedName name="_xlnm.Print_Titles" localSheetId="8">'Journal Entry'!$1:$5</definedName>
    <definedName name="_xlnm.Print_Titles" localSheetId="0">Master!$7:$7</definedName>
    <definedName name="_xlnm.Print_Titles" localSheetId="4">'Payroll HW Apr24'!$5:$5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62" i="18" l="1"/>
  <c r="AI60" i="18"/>
  <c r="F45" i="22"/>
  <c r="C29" i="22"/>
  <c r="C25" i="22"/>
  <c r="C24" i="22"/>
  <c r="C12" i="22"/>
  <c r="C8" i="22"/>
  <c r="C6" i="22"/>
  <c r="C5" i="22"/>
  <c r="C4" i="22"/>
  <c r="C3" i="22"/>
  <c r="BA7" i="16"/>
  <c r="G15" i="5"/>
  <c r="BA18" i="18"/>
  <c r="AI64" i="18" l="1"/>
  <c r="AW8" i="13"/>
  <c r="AT8" i="13"/>
  <c r="AR8" i="13"/>
  <c r="AQ8" i="13"/>
  <c r="AP8" i="13"/>
  <c r="AO8" i="13"/>
  <c r="AM8" i="13"/>
  <c r="AK8" i="13"/>
  <c r="AJ8" i="13"/>
  <c r="AH8" i="13"/>
  <c r="AG8" i="13"/>
  <c r="AF8" i="13"/>
  <c r="AE8" i="13"/>
  <c r="AB8" i="13"/>
  <c r="Y8" i="13"/>
  <c r="W8" i="13"/>
  <c r="V8" i="13"/>
  <c r="P8" i="13"/>
  <c r="O8" i="13"/>
  <c r="N8" i="13"/>
  <c r="M8" i="13"/>
  <c r="L8" i="13"/>
  <c r="K8" i="13"/>
  <c r="J8" i="13"/>
  <c r="I8" i="13"/>
  <c r="H8" i="13"/>
  <c r="G8" i="13"/>
  <c r="F8" i="13"/>
  <c r="E8" i="13"/>
  <c r="D8" i="13"/>
  <c r="AW7" i="13"/>
  <c r="AT7" i="13"/>
  <c r="AR7" i="13"/>
  <c r="AQ7" i="13"/>
  <c r="AP7" i="13"/>
  <c r="AO7" i="13"/>
  <c r="AM7" i="13"/>
  <c r="AK7" i="13"/>
  <c r="AJ7" i="13"/>
  <c r="AH7" i="13"/>
  <c r="AG7" i="13"/>
  <c r="AF7" i="13"/>
  <c r="AE7" i="13"/>
  <c r="AB7" i="13"/>
  <c r="Y7" i="13"/>
  <c r="W7" i="13"/>
  <c r="V7" i="13"/>
  <c r="P7" i="13"/>
  <c r="O7" i="13"/>
  <c r="N7" i="13"/>
  <c r="M7" i="13"/>
  <c r="L7" i="13"/>
  <c r="K7" i="13"/>
  <c r="J7" i="13"/>
  <c r="I7" i="13"/>
  <c r="H7" i="13"/>
  <c r="G7" i="13"/>
  <c r="F7" i="13"/>
  <c r="E7" i="13"/>
  <c r="D7" i="13"/>
  <c r="AC34" i="5" l="1"/>
  <c r="W34" i="5"/>
  <c r="U34" i="5"/>
  <c r="T34" i="5"/>
  <c r="Q34" i="5"/>
  <c r="P34" i="5"/>
  <c r="O34" i="5"/>
  <c r="N34" i="5"/>
  <c r="I34" i="5"/>
  <c r="G34" i="5"/>
  <c r="D34" i="5"/>
  <c r="V14" i="12"/>
  <c r="AL20" i="12"/>
  <c r="AL23" i="12"/>
  <c r="Q53" i="18"/>
  <c r="X53" i="18"/>
  <c r="X8" i="13" s="1"/>
  <c r="Z53" i="18"/>
  <c r="Z8" i="13" s="1"/>
  <c r="AA53" i="18"/>
  <c r="BD53" i="18"/>
  <c r="BG53" i="18"/>
  <c r="R53" i="18" l="1"/>
  <c r="R8" i="13" s="1"/>
  <c r="Q8" i="13"/>
  <c r="AC53" i="18"/>
  <c r="AC8" i="13" s="1"/>
  <c r="AA8" i="13"/>
  <c r="T53" i="18"/>
  <c r="T8" i="13" s="1"/>
  <c r="S53" i="18"/>
  <c r="S8" i="13" s="1"/>
  <c r="U53" i="18" l="1"/>
  <c r="U8" i="13" s="1"/>
  <c r="AD53" i="18" l="1"/>
  <c r="AD8" i="13" s="1"/>
  <c r="AY8" i="13" l="1"/>
  <c r="AX8" i="13"/>
  <c r="AI53" i="18"/>
  <c r="AN53" i="18" l="1"/>
  <c r="AI8" i="13"/>
  <c r="AN8" i="13" l="1"/>
  <c r="AS53" i="18"/>
  <c r="AU53" i="18" l="1"/>
  <c r="AS8" i="13"/>
  <c r="AU8" i="13" l="1"/>
  <c r="BE53" i="18"/>
  <c r="AV53" i="18"/>
  <c r="K52" i="29" l="1"/>
  <c r="K50" i="29"/>
  <c r="K48" i="29"/>
  <c r="K47" i="29"/>
  <c r="BD9" i="18" l="1"/>
  <c r="K21" i="29"/>
  <c r="K16" i="29"/>
  <c r="K25" i="29" l="1"/>
  <c r="K15" i="29"/>
  <c r="K14" i="29"/>
  <c r="Z11" i="18"/>
  <c r="AS39" i="11" l="1"/>
  <c r="AT39" i="11" s="1"/>
  <c r="Y15" i="18"/>
  <c r="AE15" i="16" l="1"/>
  <c r="D15" i="16"/>
  <c r="E15" i="16"/>
  <c r="F15" i="16"/>
  <c r="G15" i="16"/>
  <c r="H15" i="16"/>
  <c r="I15" i="16"/>
  <c r="J15" i="16"/>
  <c r="K15" i="16"/>
  <c r="L15" i="16"/>
  <c r="M15" i="16"/>
  <c r="N15" i="16"/>
  <c r="O15" i="16"/>
  <c r="P15" i="16"/>
  <c r="V15" i="16"/>
  <c r="W15" i="16"/>
  <c r="Y15" i="16"/>
  <c r="AB15" i="16"/>
  <c r="AF15" i="16"/>
  <c r="AG15" i="16"/>
  <c r="AH15" i="16"/>
  <c r="AJ15" i="16"/>
  <c r="AK15" i="16"/>
  <c r="AL15" i="16"/>
  <c r="AM15" i="16"/>
  <c r="AO15" i="16"/>
  <c r="AP15" i="16"/>
  <c r="AQ15" i="16"/>
  <c r="AR15" i="16"/>
  <c r="AT15" i="16"/>
  <c r="AX15" i="16"/>
  <c r="AB26" i="18" l="1"/>
  <c r="AS40" i="11" l="1"/>
  <c r="AS38" i="11"/>
  <c r="AS37" i="11"/>
  <c r="AS36" i="11"/>
  <c r="AS35" i="11"/>
  <c r="AS34" i="11"/>
  <c r="AS33" i="11"/>
  <c r="AS32" i="11"/>
  <c r="AS31" i="11"/>
  <c r="AS29" i="11"/>
  <c r="AS28" i="11"/>
  <c r="AS26" i="11"/>
  <c r="AS25" i="11"/>
  <c r="AS24" i="11"/>
  <c r="AS23" i="11"/>
  <c r="AS22" i="11"/>
  <c r="AS21" i="11"/>
  <c r="AS20" i="11"/>
  <c r="AS19" i="11"/>
  <c r="AS18" i="11"/>
  <c r="AS17" i="11"/>
  <c r="AS16" i="11"/>
  <c r="AS14" i="11"/>
  <c r="AS13" i="11"/>
  <c r="AS12" i="11"/>
  <c r="AS11" i="11"/>
  <c r="AS9" i="11"/>
  <c r="AS8" i="11"/>
  <c r="AS7" i="11"/>
  <c r="AS6" i="11"/>
  <c r="AS5" i="11"/>
  <c r="AR42" i="11"/>
  <c r="AQ42" i="11"/>
  <c r="Y25" i="18"/>
  <c r="AA27" i="18"/>
  <c r="AA7" i="13" s="1"/>
  <c r="Z27" i="18"/>
  <c r="Z7" i="13" s="1"/>
  <c r="X27" i="18"/>
  <c r="X7" i="13" s="1"/>
  <c r="AA8" i="18"/>
  <c r="Z8" i="18"/>
  <c r="X8" i="18"/>
  <c r="AA25" i="18"/>
  <c r="Z25" i="18"/>
  <c r="X25" i="18"/>
  <c r="AA26" i="18"/>
  <c r="Z26" i="18"/>
  <c r="X26" i="18"/>
  <c r="AA34" i="18"/>
  <c r="Z34" i="18"/>
  <c r="X34" i="18"/>
  <c r="AA49" i="18"/>
  <c r="Z49" i="18"/>
  <c r="X49" i="18"/>
  <c r="AA44" i="18"/>
  <c r="Z44" i="18"/>
  <c r="X44" i="18"/>
  <c r="AA10" i="18"/>
  <c r="Z10" i="18"/>
  <c r="X10" i="18"/>
  <c r="AA11" i="18"/>
  <c r="X11" i="18"/>
  <c r="AA41" i="18"/>
  <c r="Z41" i="18"/>
  <c r="X41" i="18"/>
  <c r="AA43" i="18"/>
  <c r="Z43" i="18"/>
  <c r="X43" i="18"/>
  <c r="AA50" i="18"/>
  <c r="Z50" i="18"/>
  <c r="X50" i="18"/>
  <c r="AA35" i="18"/>
  <c r="Z35" i="18"/>
  <c r="X35" i="18"/>
  <c r="AA37" i="18"/>
  <c r="Z37" i="18"/>
  <c r="X37" i="18"/>
  <c r="AA45" i="18"/>
  <c r="Z45" i="18"/>
  <c r="X45" i="18"/>
  <c r="AA29" i="18"/>
  <c r="Z29" i="18"/>
  <c r="X29" i="18"/>
  <c r="AA38" i="18"/>
  <c r="Z38" i="18"/>
  <c r="X38" i="18"/>
  <c r="AA42" i="18"/>
  <c r="Z42" i="18"/>
  <c r="X42" i="18"/>
  <c r="AA40" i="18"/>
  <c r="Z40" i="18"/>
  <c r="X40" i="18"/>
  <c r="AA33" i="18"/>
  <c r="Z33" i="18"/>
  <c r="X33" i="18"/>
  <c r="AA12" i="18"/>
  <c r="Z12" i="18"/>
  <c r="X12" i="18"/>
  <c r="AA31" i="18"/>
  <c r="AA15" i="16" s="1"/>
  <c r="Z31" i="18"/>
  <c r="Z15" i="16" s="1"/>
  <c r="X31" i="18"/>
  <c r="X15" i="16" s="1"/>
  <c r="AA18" i="18"/>
  <c r="Z18" i="18"/>
  <c r="X18" i="18"/>
  <c r="AA17" i="18"/>
  <c r="Z17" i="18"/>
  <c r="X17" i="18"/>
  <c r="AA32" i="18"/>
  <c r="Z32" i="18"/>
  <c r="X32" i="18"/>
  <c r="AA36" i="18"/>
  <c r="Z36" i="18"/>
  <c r="X36" i="18"/>
  <c r="AA52" i="18"/>
  <c r="Z52" i="18"/>
  <c r="X52" i="18"/>
  <c r="AA13" i="18"/>
  <c r="Z13" i="18"/>
  <c r="X13" i="18"/>
  <c r="AA9" i="18"/>
  <c r="Z9" i="18"/>
  <c r="X9" i="18"/>
  <c r="AA16" i="18"/>
  <c r="Z16" i="18"/>
  <c r="X16" i="18"/>
  <c r="AA15" i="18"/>
  <c r="Z15" i="18"/>
  <c r="X15" i="18"/>
  <c r="AA24" i="18"/>
  <c r="Z24" i="18"/>
  <c r="X24" i="18"/>
  <c r="AA23" i="18"/>
  <c r="Z23" i="18"/>
  <c r="X23" i="18"/>
  <c r="AA20" i="18"/>
  <c r="Z20" i="18"/>
  <c r="X20" i="18"/>
  <c r="AA39" i="18"/>
  <c r="Z39" i="18"/>
  <c r="X39" i="18"/>
  <c r="AA30" i="18"/>
  <c r="Z30" i="18"/>
  <c r="X30" i="18"/>
  <c r="AA14" i="18"/>
  <c r="Z14" i="18"/>
  <c r="X14" i="18"/>
  <c r="AA19" i="18"/>
  <c r="Z19" i="18"/>
  <c r="X19" i="18"/>
  <c r="AA22" i="18"/>
  <c r="Z22" i="18"/>
  <c r="X22" i="18"/>
  <c r="AA21" i="18"/>
  <c r="Z21" i="18"/>
  <c r="X21" i="18"/>
  <c r="AA28" i="18"/>
  <c r="Z28" i="18"/>
  <c r="X28" i="18"/>
  <c r="AA47" i="18"/>
  <c r="Z47" i="18"/>
  <c r="X47" i="18"/>
  <c r="D16" i="12"/>
  <c r="E16" i="12"/>
  <c r="F16" i="12"/>
  <c r="G16" i="12"/>
  <c r="H16" i="12"/>
  <c r="I16" i="12"/>
  <c r="J16" i="12"/>
  <c r="K16" i="12"/>
  <c r="L16" i="12"/>
  <c r="M16" i="12"/>
  <c r="N16" i="12"/>
  <c r="O16" i="12"/>
  <c r="P16" i="12"/>
  <c r="V16" i="12"/>
  <c r="W16" i="12"/>
  <c r="Y16" i="12"/>
  <c r="AB16" i="12"/>
  <c r="AE16" i="12"/>
  <c r="AF16" i="12"/>
  <c r="AG16" i="12"/>
  <c r="AH16" i="12"/>
  <c r="AJ16" i="12"/>
  <c r="AK16" i="12"/>
  <c r="AM16" i="12"/>
  <c r="AN16" i="12"/>
  <c r="AO16" i="12"/>
  <c r="AP16" i="12"/>
  <c r="AQ16" i="12"/>
  <c r="AR16" i="12"/>
  <c r="AX16" i="12"/>
  <c r="Q12" i="18"/>
  <c r="R12" i="18" s="1"/>
  <c r="R16" i="12" s="1"/>
  <c r="AA16" i="12"/>
  <c r="AS12" i="18"/>
  <c r="AS16" i="12" s="1"/>
  <c r="BG12" i="18"/>
  <c r="P17" i="18"/>
  <c r="X16" i="12" l="1"/>
  <c r="J34" i="5"/>
  <c r="Z16" i="12"/>
  <c r="K34" i="5"/>
  <c r="BD12" i="18"/>
  <c r="AC12" i="18"/>
  <c r="T12" i="18"/>
  <c r="T16" i="12" s="1"/>
  <c r="Q16" i="12"/>
  <c r="S12" i="18"/>
  <c r="AT38" i="11"/>
  <c r="Q27" i="18"/>
  <c r="Q7" i="13" s="1"/>
  <c r="AC27" i="18"/>
  <c r="AC7" i="13" s="1"/>
  <c r="BG27" i="18"/>
  <c r="P8" i="18"/>
  <c r="Q31" i="18"/>
  <c r="AC31" i="18"/>
  <c r="AC15" i="16" s="1"/>
  <c r="BG31" i="18"/>
  <c r="AX31" i="12"/>
  <c r="AT31" i="12"/>
  <c r="AQ31" i="12"/>
  <c r="AP31" i="12"/>
  <c r="AO31" i="12"/>
  <c r="AM31" i="12"/>
  <c r="AK31" i="12"/>
  <c r="AJ31" i="12"/>
  <c r="AH31" i="12"/>
  <c r="AG31" i="12"/>
  <c r="AF31" i="12"/>
  <c r="AE31" i="12"/>
  <c r="AB31" i="12"/>
  <c r="Y31" i="12"/>
  <c r="W31" i="12"/>
  <c r="V31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AX30" i="12"/>
  <c r="AT30" i="12"/>
  <c r="AR30" i="12"/>
  <c r="AQ30" i="12"/>
  <c r="AP30" i="12"/>
  <c r="AO30" i="12"/>
  <c r="AM30" i="12"/>
  <c r="AK30" i="12"/>
  <c r="AJ30" i="12"/>
  <c r="AH30" i="12"/>
  <c r="AG30" i="12"/>
  <c r="AF30" i="12"/>
  <c r="AE30" i="12"/>
  <c r="AB30" i="12"/>
  <c r="Y30" i="12"/>
  <c r="W30" i="12"/>
  <c r="V30" i="12"/>
  <c r="O30" i="12"/>
  <c r="N30" i="12"/>
  <c r="M30" i="12"/>
  <c r="L30" i="12"/>
  <c r="K30" i="12"/>
  <c r="J30" i="12"/>
  <c r="I30" i="12"/>
  <c r="H30" i="12"/>
  <c r="G30" i="12"/>
  <c r="E30" i="12"/>
  <c r="D30" i="12"/>
  <c r="Q10" i="18"/>
  <c r="R10" i="18" s="1"/>
  <c r="AC10" i="18"/>
  <c r="BG10" i="18"/>
  <c r="Q11" i="18"/>
  <c r="R11" i="18" s="1"/>
  <c r="R31" i="12" s="1"/>
  <c r="X31" i="12"/>
  <c r="Z31" i="12"/>
  <c r="AC11" i="18"/>
  <c r="AC31" i="12" s="1"/>
  <c r="BG11" i="18"/>
  <c r="BA56" i="18"/>
  <c r="P47" i="18"/>
  <c r="P29" i="18"/>
  <c r="P30" i="12" s="1"/>
  <c r="AC16" i="12" l="1"/>
  <c r="R31" i="18"/>
  <c r="R15" i="16" s="1"/>
  <c r="Q15" i="16"/>
  <c r="S27" i="18"/>
  <c r="S7" i="13" s="1"/>
  <c r="BD27" i="18"/>
  <c r="BD31" i="18"/>
  <c r="R27" i="18"/>
  <c r="R7" i="13" s="1"/>
  <c r="U12" i="18"/>
  <c r="S16" i="12"/>
  <c r="T31" i="18"/>
  <c r="T15" i="16" s="1"/>
  <c r="T27" i="18"/>
  <c r="T7" i="13" s="1"/>
  <c r="BD10" i="18"/>
  <c r="AA31" i="12"/>
  <c r="Q31" i="12"/>
  <c r="S31" i="18"/>
  <c r="T10" i="18"/>
  <c r="S10" i="18"/>
  <c r="T11" i="18"/>
  <c r="T31" i="12" s="1"/>
  <c r="S11" i="18"/>
  <c r="S31" i="12" s="1"/>
  <c r="U31" i="18" l="1"/>
  <c r="S15" i="16"/>
  <c r="U27" i="18"/>
  <c r="U7" i="13" s="1"/>
  <c r="AD12" i="18"/>
  <c r="U16" i="12"/>
  <c r="U10" i="18"/>
  <c r="AD10" i="18" s="1"/>
  <c r="AI10" i="18" s="1"/>
  <c r="U11" i="18"/>
  <c r="D7" i="16"/>
  <c r="E7" i="16"/>
  <c r="D8" i="16"/>
  <c r="E8" i="16"/>
  <c r="D9" i="16"/>
  <c r="E9" i="16"/>
  <c r="F9" i="16"/>
  <c r="D10" i="16"/>
  <c r="E10" i="16"/>
  <c r="D11" i="16"/>
  <c r="E11" i="16"/>
  <c r="D12" i="16"/>
  <c r="E12" i="16"/>
  <c r="D13" i="16"/>
  <c r="E13" i="16"/>
  <c r="F13" i="16"/>
  <c r="D14" i="16"/>
  <c r="E14" i="16"/>
  <c r="F14" i="16"/>
  <c r="F50" i="12"/>
  <c r="F43" i="12"/>
  <c r="F19" i="12"/>
  <c r="F13" i="12"/>
  <c r="F12" i="12"/>
  <c r="F11" i="12"/>
  <c r="F18" i="12"/>
  <c r="F17" i="12"/>
  <c r="F9" i="12"/>
  <c r="E6" i="12"/>
  <c r="E6" i="16"/>
  <c r="D6" i="16"/>
  <c r="E51" i="12"/>
  <c r="D51" i="12"/>
  <c r="E50" i="12"/>
  <c r="D50" i="12"/>
  <c r="E49" i="12"/>
  <c r="D49" i="12"/>
  <c r="E48" i="12"/>
  <c r="D48" i="12"/>
  <c r="E47" i="12"/>
  <c r="D47" i="12"/>
  <c r="E46" i="12"/>
  <c r="D46" i="12"/>
  <c r="E43" i="12"/>
  <c r="D43" i="12"/>
  <c r="E42" i="12"/>
  <c r="D42" i="12"/>
  <c r="E39" i="12"/>
  <c r="D39" i="12"/>
  <c r="E38" i="12"/>
  <c r="D38" i="12"/>
  <c r="E37" i="12"/>
  <c r="D37" i="12"/>
  <c r="E36" i="12"/>
  <c r="D36" i="12"/>
  <c r="E35" i="12"/>
  <c r="D35" i="12"/>
  <c r="E32" i="12"/>
  <c r="D32" i="12"/>
  <c r="E29" i="12"/>
  <c r="D29" i="12"/>
  <c r="E28" i="12"/>
  <c r="D28" i="12"/>
  <c r="E27" i="12"/>
  <c r="D27" i="12"/>
  <c r="E26" i="12"/>
  <c r="D26" i="12"/>
  <c r="E25" i="12"/>
  <c r="D25" i="12"/>
  <c r="E19" i="12"/>
  <c r="D19" i="12"/>
  <c r="E13" i="12"/>
  <c r="D13" i="12"/>
  <c r="E12" i="12"/>
  <c r="D12" i="12"/>
  <c r="E11" i="12"/>
  <c r="D11" i="12"/>
  <c r="E10" i="12"/>
  <c r="D10" i="12"/>
  <c r="E18" i="12"/>
  <c r="D18" i="12"/>
  <c r="E17" i="12"/>
  <c r="D17" i="12"/>
  <c r="E22" i="12"/>
  <c r="D22" i="12"/>
  <c r="E9" i="12"/>
  <c r="D9" i="12"/>
  <c r="E8" i="12"/>
  <c r="D8" i="12"/>
  <c r="E7" i="12"/>
  <c r="D7" i="12"/>
  <c r="D6" i="12"/>
  <c r="P42" i="18"/>
  <c r="AD27" i="18" l="1"/>
  <c r="AD7" i="13" s="1"/>
  <c r="AD31" i="18"/>
  <c r="U15" i="16"/>
  <c r="AQ10" i="18"/>
  <c r="AS10" i="18" s="1"/>
  <c r="AU10" i="18" s="1"/>
  <c r="BE10" i="18" s="1"/>
  <c r="AI27" i="18"/>
  <c r="AI12" i="18"/>
  <c r="AD16" i="12"/>
  <c r="AD11" i="18"/>
  <c r="U31" i="12"/>
  <c r="D12" i="29"/>
  <c r="E12" i="29"/>
  <c r="F12" i="29"/>
  <c r="G12" i="29"/>
  <c r="H12" i="29"/>
  <c r="D11" i="29"/>
  <c r="E11" i="29"/>
  <c r="F11" i="29"/>
  <c r="G11" i="29"/>
  <c r="H11" i="29"/>
  <c r="BF56" i="18"/>
  <c r="D124" i="20"/>
  <c r="C121" i="20"/>
  <c r="D108" i="20"/>
  <c r="C105" i="20"/>
  <c r="P16" i="18"/>
  <c r="P25" i="18"/>
  <c r="P18" i="18"/>
  <c r="AN27" i="18" l="1"/>
  <c r="AN7" i="13" s="1"/>
  <c r="AI7" i="13"/>
  <c r="AX7" i="13"/>
  <c r="AY7" i="13"/>
  <c r="AT12" i="18"/>
  <c r="AU12" i="18" s="1"/>
  <c r="AV12" i="18" s="1"/>
  <c r="AY16" i="12"/>
  <c r="AI31" i="18"/>
  <c r="AD15" i="16"/>
  <c r="AY15" i="16" s="1"/>
  <c r="AT16" i="12"/>
  <c r="AS27" i="18"/>
  <c r="AS7" i="13" s="1"/>
  <c r="AI16" i="12"/>
  <c r="AI11" i="18"/>
  <c r="AR11" i="18" s="1"/>
  <c r="AR31" i="12" s="1"/>
  <c r="AD31" i="12"/>
  <c r="AY31" i="12" s="1"/>
  <c r="I12" i="29"/>
  <c r="I11" i="29"/>
  <c r="AZ56" i="18"/>
  <c r="AI15" i="16" l="1"/>
  <c r="AN31" i="18"/>
  <c r="AU27" i="18"/>
  <c r="AU7" i="13" s="1"/>
  <c r="AU16" i="12"/>
  <c r="BE12" i="18"/>
  <c r="AI31" i="12"/>
  <c r="G43" i="12"/>
  <c r="H43" i="12"/>
  <c r="I43" i="12"/>
  <c r="J43" i="12"/>
  <c r="K43" i="12"/>
  <c r="L43" i="12"/>
  <c r="M43" i="12"/>
  <c r="N43" i="12"/>
  <c r="O43" i="12"/>
  <c r="P43" i="12"/>
  <c r="V43" i="12"/>
  <c r="W43" i="12"/>
  <c r="Y43" i="12"/>
  <c r="AB43" i="12"/>
  <c r="AF43" i="12"/>
  <c r="AG43" i="12"/>
  <c r="AH43" i="12"/>
  <c r="AJ43" i="12"/>
  <c r="AK43" i="12"/>
  <c r="AM43" i="12"/>
  <c r="AO43" i="12"/>
  <c r="AP43" i="12"/>
  <c r="AQ43" i="12"/>
  <c r="AR43" i="12"/>
  <c r="AT43" i="12"/>
  <c r="AX43" i="12"/>
  <c r="P44" i="18"/>
  <c r="E46" i="18"/>
  <c r="F42" i="12" s="1"/>
  <c r="P46" i="18"/>
  <c r="BG8" i="18"/>
  <c r="AC8" i="18"/>
  <c r="AC43" i="12" s="1"/>
  <c r="Z43" i="12"/>
  <c r="X43" i="12"/>
  <c r="Q8" i="18"/>
  <c r="T8" i="18" s="1"/>
  <c r="T43" i="12" s="1"/>
  <c r="B47" i="12"/>
  <c r="B48" i="12" s="1"/>
  <c r="B49" i="12" s="1"/>
  <c r="B50" i="12" s="1"/>
  <c r="B51" i="12" s="1"/>
  <c r="B36" i="12"/>
  <c r="B37" i="12" s="1"/>
  <c r="B38" i="12" s="1"/>
  <c r="B39" i="12" s="1"/>
  <c r="B26" i="12"/>
  <c r="B27" i="12" s="1"/>
  <c r="B28" i="12" s="1"/>
  <c r="B29" i="12" s="1"/>
  <c r="B32" i="12" s="1"/>
  <c r="B3" i="29" a="1"/>
  <c r="B3" i="29" s="1"/>
  <c r="AN15" i="16" l="1"/>
  <c r="AS31" i="18"/>
  <c r="BE27" i="18"/>
  <c r="AV27" i="18"/>
  <c r="AN31" i="12"/>
  <c r="AS11" i="18"/>
  <c r="BD11" i="18"/>
  <c r="AE43" i="12"/>
  <c r="Q43" i="12"/>
  <c r="S8" i="18"/>
  <c r="S43" i="12" s="1"/>
  <c r="AA43" i="12"/>
  <c r="R8" i="18"/>
  <c r="D6" i="29"/>
  <c r="AU31" i="18" l="1"/>
  <c r="AS15" i="16"/>
  <c r="AU11" i="18"/>
  <c r="BE11" i="18" s="1"/>
  <c r="AS31" i="12"/>
  <c r="U8" i="18"/>
  <c r="R43" i="12"/>
  <c r="P39" i="18"/>
  <c r="AV31" i="18" l="1"/>
  <c r="BE31" i="18"/>
  <c r="AU15" i="16"/>
  <c r="AU31" i="12"/>
  <c r="AD8" i="18"/>
  <c r="U43" i="12"/>
  <c r="AN48" i="18"/>
  <c r="AP42" i="11"/>
  <c r="D10" i="29" l="1"/>
  <c r="AI8" i="18"/>
  <c r="AN8" i="18" s="1"/>
  <c r="AD43" i="12"/>
  <c r="AY43" i="12" s="1"/>
  <c r="D9" i="29"/>
  <c r="AC25" i="18"/>
  <c r="AC50" i="12" s="1"/>
  <c r="Z50" i="12"/>
  <c r="G19" i="12"/>
  <c r="H19" i="12"/>
  <c r="I19" i="12"/>
  <c r="J19" i="12"/>
  <c r="K19" i="12"/>
  <c r="L19" i="12"/>
  <c r="M19" i="12"/>
  <c r="N19" i="12"/>
  <c r="O19" i="12"/>
  <c r="P19" i="12"/>
  <c r="V19" i="12"/>
  <c r="W19" i="12"/>
  <c r="Y19" i="12"/>
  <c r="AB19" i="12"/>
  <c r="AE19" i="12"/>
  <c r="AF19" i="12"/>
  <c r="AG19" i="12"/>
  <c r="AH19" i="12"/>
  <c r="AJ19" i="12"/>
  <c r="AK19" i="12"/>
  <c r="AM19" i="12"/>
  <c r="AN19" i="12"/>
  <c r="AO19" i="12"/>
  <c r="AP19" i="12"/>
  <c r="AR19" i="12"/>
  <c r="AT19" i="12"/>
  <c r="AX19" i="12"/>
  <c r="G13" i="12"/>
  <c r="H13" i="12"/>
  <c r="I13" i="12"/>
  <c r="J13" i="12"/>
  <c r="K13" i="12"/>
  <c r="L13" i="12"/>
  <c r="M13" i="12"/>
  <c r="N13" i="12"/>
  <c r="O13" i="12"/>
  <c r="P13" i="12"/>
  <c r="V13" i="12"/>
  <c r="W13" i="12"/>
  <c r="Y13" i="12"/>
  <c r="AB13" i="12"/>
  <c r="AE13" i="12"/>
  <c r="AF13" i="12"/>
  <c r="AG13" i="12"/>
  <c r="AH13" i="12"/>
  <c r="AJ13" i="12"/>
  <c r="AK13" i="12"/>
  <c r="AM13" i="12"/>
  <c r="AN13" i="12"/>
  <c r="AO13" i="12"/>
  <c r="AP13" i="12"/>
  <c r="AR13" i="12"/>
  <c r="AT13" i="12"/>
  <c r="AX13" i="12"/>
  <c r="Q25" i="18"/>
  <c r="R25" i="18" s="1"/>
  <c r="Q18" i="18"/>
  <c r="R18" i="18" s="1"/>
  <c r="R19" i="12" s="1"/>
  <c r="Q13" i="18"/>
  <c r="R13" i="18" s="1"/>
  <c r="R13" i="12" s="1"/>
  <c r="G50" i="12"/>
  <c r="H50" i="12"/>
  <c r="I50" i="12"/>
  <c r="J50" i="12"/>
  <c r="K50" i="12"/>
  <c r="L50" i="12"/>
  <c r="M50" i="12"/>
  <c r="N50" i="12"/>
  <c r="O50" i="12"/>
  <c r="P50" i="12"/>
  <c r="V50" i="12"/>
  <c r="W50" i="12"/>
  <c r="Y50" i="12"/>
  <c r="AB50" i="12"/>
  <c r="AE50" i="12"/>
  <c r="AF50" i="12"/>
  <c r="AG50" i="12"/>
  <c r="AH50" i="12"/>
  <c r="AJ50" i="12"/>
  <c r="AK50" i="12"/>
  <c r="AM50" i="12"/>
  <c r="AN50" i="12"/>
  <c r="AO50" i="12"/>
  <c r="AP50" i="12"/>
  <c r="AR50" i="12"/>
  <c r="AT50" i="12"/>
  <c r="AX50" i="12"/>
  <c r="G14" i="16"/>
  <c r="H14" i="16"/>
  <c r="I14" i="16"/>
  <c r="J14" i="16"/>
  <c r="K14" i="16"/>
  <c r="L14" i="16"/>
  <c r="M14" i="16"/>
  <c r="N14" i="16"/>
  <c r="O14" i="16"/>
  <c r="P14" i="16"/>
  <c r="V14" i="16"/>
  <c r="W14" i="16"/>
  <c r="Y14" i="16"/>
  <c r="AB14" i="16"/>
  <c r="AE14" i="16"/>
  <c r="AF14" i="16"/>
  <c r="AG14" i="16"/>
  <c r="AH14" i="16"/>
  <c r="AJ14" i="16"/>
  <c r="AK14" i="16"/>
  <c r="AL14" i="16"/>
  <c r="AM14" i="16"/>
  <c r="AN14" i="16"/>
  <c r="AO14" i="16"/>
  <c r="AP14" i="16"/>
  <c r="AR14" i="16"/>
  <c r="AT14" i="16"/>
  <c r="AX14" i="16"/>
  <c r="Q30" i="18"/>
  <c r="Q14" i="16" s="1"/>
  <c r="AC18" i="18"/>
  <c r="BD8" i="18" l="1"/>
  <c r="AI43" i="12"/>
  <c r="X13" i="12"/>
  <c r="Z13" i="12"/>
  <c r="AC39" i="18"/>
  <c r="AC15" i="18"/>
  <c r="AC32" i="18"/>
  <c r="AC16" i="18"/>
  <c r="AC28" i="18"/>
  <c r="AC14" i="18"/>
  <c r="AC9" i="18"/>
  <c r="AC17" i="18"/>
  <c r="L34" i="5" s="1"/>
  <c r="X14" i="16"/>
  <c r="X19" i="12"/>
  <c r="Z14" i="16"/>
  <c r="Z19" i="12"/>
  <c r="AC30" i="18"/>
  <c r="AC14" i="16" s="1"/>
  <c r="AC36" i="18"/>
  <c r="AA50" i="12"/>
  <c r="Q50" i="12"/>
  <c r="AC19" i="12"/>
  <c r="Q13" i="12"/>
  <c r="Q19" i="12"/>
  <c r="T25" i="18"/>
  <c r="T50" i="12" s="1"/>
  <c r="R50" i="12"/>
  <c r="S25" i="18"/>
  <c r="S50" i="12" s="1"/>
  <c r="T18" i="18"/>
  <c r="S18" i="18"/>
  <c r="S19" i="12" s="1"/>
  <c r="T13" i="18"/>
  <c r="T13" i="12" s="1"/>
  <c r="S13" i="18"/>
  <c r="T30" i="18"/>
  <c r="T14" i="16" s="1"/>
  <c r="R30" i="18"/>
  <c r="R14" i="16" s="1"/>
  <c r="S30" i="18"/>
  <c r="S14" i="16" s="1"/>
  <c r="X50" i="12"/>
  <c r="AS8" i="18" l="1"/>
  <c r="AU8" i="18" s="1"/>
  <c r="AN43" i="12"/>
  <c r="AA14" i="16"/>
  <c r="AC13" i="18"/>
  <c r="AC13" i="12" s="1"/>
  <c r="AA13" i="12"/>
  <c r="AA19" i="12"/>
  <c r="U18" i="18"/>
  <c r="T19" i="12"/>
  <c r="U13" i="18"/>
  <c r="S13" i="12"/>
  <c r="U25" i="18"/>
  <c r="U30" i="18"/>
  <c r="BE8" i="18" l="1"/>
  <c r="AS43" i="12"/>
  <c r="U50" i="12"/>
  <c r="AD25" i="18"/>
  <c r="U13" i="12"/>
  <c r="AD13" i="18"/>
  <c r="U14" i="16"/>
  <c r="AD30" i="18"/>
  <c r="AD18" i="18"/>
  <c r="U19" i="12"/>
  <c r="AU43" i="12" l="1"/>
  <c r="AV8" i="18"/>
  <c r="AD13" i="12"/>
  <c r="AY13" i="12" s="1"/>
  <c r="AI13" i="18"/>
  <c r="AD19" i="12"/>
  <c r="AI18" i="18"/>
  <c r="AD14" i="16"/>
  <c r="AY14" i="16" s="1"/>
  <c r="AI30" i="18"/>
  <c r="AD50" i="12"/>
  <c r="AY50" i="12" s="1"/>
  <c r="AI25" i="18"/>
  <c r="AY56" i="18"/>
  <c r="W72" i="5" s="1"/>
  <c r="E26" i="18"/>
  <c r="F49" i="12" s="1"/>
  <c r="P26" i="18"/>
  <c r="P41" i="18"/>
  <c r="AY19" i="12" l="1"/>
  <c r="AQ30" i="18"/>
  <c r="BD30" i="18" s="1"/>
  <c r="AI14" i="16"/>
  <c r="AQ13" i="18"/>
  <c r="BD13" i="18" s="1"/>
  <c r="AI13" i="12"/>
  <c r="AQ25" i="18"/>
  <c r="BD25" i="18" s="1"/>
  <c r="AI50" i="12"/>
  <c r="AQ18" i="18"/>
  <c r="AI19" i="12"/>
  <c r="BD18" i="18" l="1"/>
  <c r="V34" i="5"/>
  <c r="AS18" i="18"/>
  <c r="AU18" i="18" s="1"/>
  <c r="AQ19" i="12"/>
  <c r="AS13" i="18"/>
  <c r="AU13" i="18" s="1"/>
  <c r="AQ13" i="12"/>
  <c r="AS30" i="18"/>
  <c r="AU30" i="18" s="1"/>
  <c r="AQ14" i="16"/>
  <c r="AS25" i="18"/>
  <c r="AU25" i="18" s="1"/>
  <c r="AQ50" i="12"/>
  <c r="P20" i="18"/>
  <c r="P23" i="18"/>
  <c r="P24" i="18"/>
  <c r="AC24" i="18" l="1"/>
  <c r="BE25" i="18"/>
  <c r="AS50" i="12"/>
  <c r="BE13" i="18"/>
  <c r="AS13" i="12"/>
  <c r="AC23" i="18"/>
  <c r="AC20" i="18"/>
  <c r="BE30" i="18"/>
  <c r="AS14" i="16"/>
  <c r="BE18" i="18"/>
  <c r="AS19" i="12"/>
  <c r="AS63" i="26"/>
  <c r="AC26" i="18"/>
  <c r="AA46" i="18"/>
  <c r="AC46" i="18" s="1"/>
  <c r="AA51" i="18"/>
  <c r="AC51" i="18" s="1"/>
  <c r="AC42" i="18"/>
  <c r="AT40" i="11"/>
  <c r="AT37" i="11"/>
  <c r="AT36" i="11"/>
  <c r="AT35" i="11"/>
  <c r="AU19" i="12" l="1"/>
  <c r="AV18" i="18"/>
  <c r="AV25" i="18"/>
  <c r="AU50" i="12"/>
  <c r="AU14" i="16"/>
  <c r="AV30" i="18"/>
  <c r="AU13" i="12"/>
  <c r="AT34" i="11"/>
  <c r="AT33" i="11"/>
  <c r="B42" i="12" l="1"/>
  <c r="G11" i="12" l="1"/>
  <c r="H11" i="12"/>
  <c r="I11" i="12"/>
  <c r="J11" i="12"/>
  <c r="K11" i="12"/>
  <c r="L11" i="12"/>
  <c r="M11" i="12"/>
  <c r="N11" i="12"/>
  <c r="O11" i="12"/>
  <c r="P11" i="12"/>
  <c r="V11" i="12"/>
  <c r="W11" i="12"/>
  <c r="Y11" i="12"/>
  <c r="AA11" i="12"/>
  <c r="AB11" i="12"/>
  <c r="AC11" i="12"/>
  <c r="AE11" i="12"/>
  <c r="AF11" i="12"/>
  <c r="AG11" i="12"/>
  <c r="AH11" i="12"/>
  <c r="AJ11" i="12"/>
  <c r="AK11" i="12"/>
  <c r="AM11" i="12"/>
  <c r="AN11" i="12"/>
  <c r="AO11" i="12"/>
  <c r="AP11" i="12"/>
  <c r="AT11" i="12"/>
  <c r="AX11" i="12"/>
  <c r="G12" i="12"/>
  <c r="H12" i="12"/>
  <c r="I12" i="12"/>
  <c r="J12" i="12"/>
  <c r="K12" i="12"/>
  <c r="L12" i="12"/>
  <c r="M12" i="12"/>
  <c r="N12" i="12"/>
  <c r="O12" i="12"/>
  <c r="P12" i="12"/>
  <c r="V12" i="12"/>
  <c r="W12" i="12"/>
  <c r="Y12" i="12"/>
  <c r="AA12" i="12"/>
  <c r="AB12" i="12"/>
  <c r="AC12" i="12"/>
  <c r="AE12" i="12"/>
  <c r="AF12" i="12"/>
  <c r="AG12" i="12"/>
  <c r="AH12" i="12"/>
  <c r="AJ12" i="12"/>
  <c r="AK12" i="12"/>
  <c r="AM12" i="12"/>
  <c r="AO12" i="12"/>
  <c r="AP12" i="12"/>
  <c r="AQ12" i="12"/>
  <c r="AR12" i="12"/>
  <c r="AT12" i="12"/>
  <c r="AX12" i="12"/>
  <c r="AC58" i="5"/>
  <c r="AC57" i="5"/>
  <c r="AC56" i="5"/>
  <c r="AC50" i="5"/>
  <c r="AC45" i="5"/>
  <c r="AC39" i="5"/>
  <c r="AC38" i="5"/>
  <c r="AC37" i="5"/>
  <c r="AC36" i="5"/>
  <c r="AC25" i="5"/>
  <c r="AC23" i="5"/>
  <c r="AC16" i="5"/>
  <c r="AC15" i="5"/>
  <c r="BF4" i="18"/>
  <c r="Q6" i="5"/>
  <c r="Z51" i="18"/>
  <c r="X51" i="18"/>
  <c r="Z11" i="12"/>
  <c r="X11" i="12"/>
  <c r="Z12" i="12"/>
  <c r="X12" i="12"/>
  <c r="BG16" i="18"/>
  <c r="BG50" i="18"/>
  <c r="BG45" i="18"/>
  <c r="BG43" i="18"/>
  <c r="BG41" i="18"/>
  <c r="BG37" i="18"/>
  <c r="BG35" i="18"/>
  <c r="BG49" i="18"/>
  <c r="BG44" i="18"/>
  <c r="BG34" i="18"/>
  <c r="BG26" i="18"/>
  <c r="BG46" i="18"/>
  <c r="BG51" i="18"/>
  <c r="BG40" i="18"/>
  <c r="BG42" i="18"/>
  <c r="BG38" i="18"/>
  <c r="BG33" i="18"/>
  <c r="AC44" i="5" s="1"/>
  <c r="BG29" i="18"/>
  <c r="BG52" i="18"/>
  <c r="BG36" i="18"/>
  <c r="BG24" i="18"/>
  <c r="BG23" i="18"/>
  <c r="BG20" i="18"/>
  <c r="BG17" i="18"/>
  <c r="BG9" i="18"/>
  <c r="BG32" i="18"/>
  <c r="AC22" i="5"/>
  <c r="BG48" i="18"/>
  <c r="BG47" i="18"/>
  <c r="BG39" i="18"/>
  <c r="AC9" i="5" s="1"/>
  <c r="BG28" i="18"/>
  <c r="AC8" i="5"/>
  <c r="BG22" i="18"/>
  <c r="BG21" i="18"/>
  <c r="BG14" i="18"/>
  <c r="BG19" i="18"/>
  <c r="BG15" i="18"/>
  <c r="Q15" i="18"/>
  <c r="Q11" i="12" s="1"/>
  <c r="Q16" i="18"/>
  <c r="Q12" i="12" s="1"/>
  <c r="AO42" i="11"/>
  <c r="H6" i="29" l="1"/>
  <c r="C89" i="20"/>
  <c r="D92" i="20"/>
  <c r="C58" i="20"/>
  <c r="D61" i="20"/>
  <c r="C25" i="20"/>
  <c r="H25" i="20" s="1"/>
  <c r="D28" i="20"/>
  <c r="H28" i="20" s="1"/>
  <c r="D44" i="20"/>
  <c r="H44" i="20" s="1"/>
  <c r="C41" i="20"/>
  <c r="H41" i="20" s="1"/>
  <c r="BG56" i="18"/>
  <c r="F134" i="20" s="1"/>
  <c r="D12" i="20"/>
  <c r="H12" i="20" s="1"/>
  <c r="C9" i="20"/>
  <c r="H9" i="20" s="1"/>
  <c r="D77" i="20"/>
  <c r="C74" i="20"/>
  <c r="H10" i="29"/>
  <c r="H8" i="29"/>
  <c r="H9" i="29"/>
  <c r="H15" i="29"/>
  <c r="H3" i="29"/>
  <c r="H7" i="29"/>
  <c r="H4" i="29"/>
  <c r="H5" i="29"/>
  <c r="AC55" i="5"/>
  <c r="AC63" i="5"/>
  <c r="AC6" i="5"/>
  <c r="AC24" i="5"/>
  <c r="AC26" i="5" s="1"/>
  <c r="AC33" i="5"/>
  <c r="AC43" i="5"/>
  <c r="AC46" i="5" s="1"/>
  <c r="AC49" i="5"/>
  <c r="AC51" i="5" s="1"/>
  <c r="AC54" i="5"/>
  <c r="AC7" i="5"/>
  <c r="AC35" i="5"/>
  <c r="AC62" i="5"/>
  <c r="AC17" i="5"/>
  <c r="AC18" i="5" s="1"/>
  <c r="R16" i="18"/>
  <c r="R12" i="12" s="1"/>
  <c r="S16" i="18"/>
  <c r="S12" i="12" s="1"/>
  <c r="R15" i="18"/>
  <c r="R11" i="12" s="1"/>
  <c r="T16" i="18"/>
  <c r="T12" i="12" s="1"/>
  <c r="S15" i="18"/>
  <c r="S11" i="12" s="1"/>
  <c r="T15" i="18"/>
  <c r="T11" i="12" s="1"/>
  <c r="P50" i="18"/>
  <c r="P45" i="18"/>
  <c r="P43" i="18"/>
  <c r="P37" i="18"/>
  <c r="P35" i="18"/>
  <c r="F42" i="22"/>
  <c r="AC59" i="5" l="1"/>
  <c r="D8" i="29"/>
  <c r="AC10" i="5"/>
  <c r="H14" i="29"/>
  <c r="H16" i="29" s="1"/>
  <c r="AC35" i="18"/>
  <c r="AC50" i="18"/>
  <c r="AC45" i="18"/>
  <c r="AC37" i="18"/>
  <c r="AC43" i="18"/>
  <c r="AC64" i="5"/>
  <c r="AC41" i="18"/>
  <c r="AC28" i="5"/>
  <c r="AC40" i="5"/>
  <c r="U15" i="18"/>
  <c r="U16" i="18"/>
  <c r="H1" i="5"/>
  <c r="AC66" i="5" l="1"/>
  <c r="AC67" i="5" s="1"/>
  <c r="AC29" i="5"/>
  <c r="AC11" i="5"/>
  <c r="AD16" i="18"/>
  <c r="AD12" i="12" s="1"/>
  <c r="AY12" i="12" s="1"/>
  <c r="U12" i="12"/>
  <c r="AD15" i="18"/>
  <c r="AD11" i="12" s="1"/>
  <c r="AY11" i="12" s="1"/>
  <c r="U11" i="12"/>
  <c r="AC44" i="18" l="1"/>
  <c r="AC69" i="5"/>
  <c r="AC70" i="5" s="1"/>
  <c r="AI16" i="18"/>
  <c r="AI15" i="18"/>
  <c r="AQ15" i="18" l="1"/>
  <c r="AN16" i="18"/>
  <c r="AI12" i="12"/>
  <c r="AI11" i="12"/>
  <c r="E50" i="18"/>
  <c r="F37" i="12" s="1"/>
  <c r="E45" i="18"/>
  <c r="F35" i="12" s="1"/>
  <c r="E43" i="18"/>
  <c r="F38" i="12" s="1"/>
  <c r="E41" i="18"/>
  <c r="F39" i="12" s="1"/>
  <c r="E37" i="18"/>
  <c r="F36" i="12" s="1"/>
  <c r="E49" i="18"/>
  <c r="F47" i="12" s="1"/>
  <c r="E44" i="18"/>
  <c r="F46" i="12" s="1"/>
  <c r="E34" i="18"/>
  <c r="F51" i="12" s="1"/>
  <c r="E35" i="18"/>
  <c r="F48" i="12" s="1"/>
  <c r="E51" i="18"/>
  <c r="F25" i="12" s="1"/>
  <c r="E40" i="18"/>
  <c r="F29" i="12" s="1"/>
  <c r="E42" i="18"/>
  <c r="F27" i="12" s="1"/>
  <c r="E38" i="18"/>
  <c r="F28" i="12" s="1"/>
  <c r="E33" i="18"/>
  <c r="F26" i="12" s="1"/>
  <c r="E29" i="18"/>
  <c r="E52" i="18"/>
  <c r="F22" i="12" s="1"/>
  <c r="E36" i="18"/>
  <c r="F10" i="12" s="1"/>
  <c r="E24" i="18"/>
  <c r="F6" i="12" s="1"/>
  <c r="E23" i="18"/>
  <c r="F7" i="12" s="1"/>
  <c r="E20" i="18"/>
  <c r="F8" i="12" s="1"/>
  <c r="E48" i="18"/>
  <c r="F7" i="16" s="1"/>
  <c r="E47" i="18"/>
  <c r="F6" i="16" s="1"/>
  <c r="E39" i="18"/>
  <c r="F12" i="16" s="1"/>
  <c r="AN42" i="11"/>
  <c r="F32" i="12" l="1"/>
  <c r="F30" i="12"/>
  <c r="AQ11" i="12"/>
  <c r="BD15" i="18"/>
  <c r="BD16" i="18"/>
  <c r="AN12" i="12"/>
  <c r="AS16" i="18"/>
  <c r="AU16" i="18" s="1"/>
  <c r="AS15" i="18"/>
  <c r="AU15" i="18" s="1"/>
  <c r="AR11" i="12"/>
  <c r="AS12" i="12" l="1"/>
  <c r="AS11" i="12"/>
  <c r="BE15" i="18"/>
  <c r="BE16" i="18" l="1"/>
  <c r="AU12" i="12"/>
  <c r="AU11" i="12"/>
  <c r="AM42" i="11"/>
  <c r="AT32" i="11"/>
  <c r="Q28" i="18" l="1"/>
  <c r="R28" i="18" s="1"/>
  <c r="Q9" i="18"/>
  <c r="R9" i="18" s="1"/>
  <c r="S28" i="18" l="1"/>
  <c r="T28" i="18"/>
  <c r="S9" i="18"/>
  <c r="T9" i="18"/>
  <c r="U9" i="18" l="1"/>
  <c r="U28" i="18"/>
  <c r="AD28" i="18" s="1"/>
  <c r="AD9" i="18" l="1"/>
  <c r="AI9" i="18" s="1"/>
  <c r="AR9" i="18" s="1"/>
  <c r="AI28" i="18"/>
  <c r="AQ28" i="18" l="1"/>
  <c r="BD28" i="18" s="1"/>
  <c r="AS28" i="18" l="1"/>
  <c r="AU28" i="18" s="1"/>
  <c r="AS9" i="18"/>
  <c r="AU9" i="18" s="1"/>
  <c r="D130" i="20"/>
  <c r="D129" i="20"/>
  <c r="D126" i="20"/>
  <c r="G73" i="27" s="1"/>
  <c r="D123" i="20"/>
  <c r="G70" i="27" s="1"/>
  <c r="D122" i="20"/>
  <c r="G69" i="27" s="1"/>
  <c r="D114" i="20"/>
  <c r="D113" i="20"/>
  <c r="D110" i="20"/>
  <c r="G64" i="27" s="1"/>
  <c r="D107" i="20"/>
  <c r="G61" i="27" s="1"/>
  <c r="D106" i="20"/>
  <c r="G60" i="27" s="1"/>
  <c r="D98" i="20"/>
  <c r="D97" i="20"/>
  <c r="D94" i="20"/>
  <c r="G55" i="27" s="1"/>
  <c r="D91" i="20"/>
  <c r="G52" i="27" s="1"/>
  <c r="D90" i="20"/>
  <c r="G51" i="27" s="1"/>
  <c r="D84" i="20"/>
  <c r="D83" i="20"/>
  <c r="D82" i="20"/>
  <c r="D79" i="20"/>
  <c r="G46" i="27" s="1"/>
  <c r="D76" i="20"/>
  <c r="G43" i="27" s="1"/>
  <c r="D75" i="20"/>
  <c r="G42" i="27" s="1"/>
  <c r="D67" i="20"/>
  <c r="D66" i="20"/>
  <c r="D63" i="20"/>
  <c r="G37" i="27" s="1"/>
  <c r="D60" i="20"/>
  <c r="G34" i="27" s="1"/>
  <c r="D59" i="20"/>
  <c r="G33" i="27" s="1"/>
  <c r="D51" i="20"/>
  <c r="D50" i="20"/>
  <c r="D49" i="20"/>
  <c r="D46" i="20"/>
  <c r="D43" i="20"/>
  <c r="D42" i="20"/>
  <c r="D33" i="20"/>
  <c r="D30" i="20"/>
  <c r="D27" i="20"/>
  <c r="D26" i="20"/>
  <c r="D17" i="20"/>
  <c r="D14" i="20"/>
  <c r="G10" i="27" s="1"/>
  <c r="D11" i="20"/>
  <c r="D10" i="20"/>
  <c r="G6" i="27" l="1"/>
  <c r="H10" i="20"/>
  <c r="G15" i="27"/>
  <c r="H26" i="20"/>
  <c r="G24" i="27"/>
  <c r="H42" i="20"/>
  <c r="G7" i="27"/>
  <c r="H11" i="20"/>
  <c r="G16" i="27"/>
  <c r="H27" i="20"/>
  <c r="G25" i="27"/>
  <c r="H43" i="20"/>
  <c r="G19" i="27"/>
  <c r="H30" i="20"/>
  <c r="G28" i="27"/>
  <c r="H46" i="20"/>
  <c r="AV28" i="18"/>
  <c r="BE28" i="18"/>
  <c r="AT31" i="11"/>
  <c r="E19" i="18"/>
  <c r="F10" i="16" s="1"/>
  <c r="P19" i="18"/>
  <c r="P22" i="18"/>
  <c r="E21" i="18"/>
  <c r="F8" i="16" s="1"/>
  <c r="P21" i="18"/>
  <c r="BE9" i="18" l="1"/>
  <c r="AC22" i="18"/>
  <c r="AC21" i="18"/>
  <c r="AC19" i="18"/>
  <c r="X30" i="12"/>
  <c r="Z30" i="12"/>
  <c r="AL52" i="12"/>
  <c r="AL44" i="12"/>
  <c r="AC29" i="18" l="1"/>
  <c r="AC30" i="12" s="1"/>
  <c r="AA30" i="12"/>
  <c r="Z46" i="18"/>
  <c r="AL6" i="26"/>
  <c r="AK6" i="26"/>
  <c r="AJ6" i="26"/>
  <c r="AI6" i="26"/>
  <c r="AH6" i="26"/>
  <c r="AG6" i="26"/>
  <c r="AF6" i="26"/>
  <c r="AE6" i="26"/>
  <c r="AD6" i="26"/>
  <c r="AC6" i="26"/>
  <c r="AB6" i="26"/>
  <c r="AA6" i="26"/>
  <c r="Z6" i="26"/>
  <c r="Y6" i="26"/>
  <c r="X6" i="26"/>
  <c r="W6" i="26"/>
  <c r="V6" i="26"/>
  <c r="U6" i="26"/>
  <c r="T6" i="26"/>
  <c r="S6" i="26"/>
  <c r="R6" i="26"/>
  <c r="Q6" i="26"/>
  <c r="P6" i="26"/>
  <c r="O6" i="26"/>
  <c r="N6" i="26"/>
  <c r="M6" i="26"/>
  <c r="K6" i="26"/>
  <c r="J6" i="26"/>
  <c r="AL4" i="26"/>
  <c r="AK4" i="26"/>
  <c r="AJ4" i="26"/>
  <c r="T4" i="26"/>
  <c r="S4" i="26"/>
  <c r="R4" i="26"/>
  <c r="Q4" i="26"/>
  <c r="AO56" i="18" l="1"/>
  <c r="AH56" i="18"/>
  <c r="AG56" i="18"/>
  <c r="AF56" i="18"/>
  <c r="AE56" i="18"/>
  <c r="V56" i="18"/>
  <c r="AL42" i="11" l="1"/>
  <c r="Q17" i="18" l="1"/>
  <c r="S17" i="18" s="1"/>
  <c r="T17" i="18" l="1"/>
  <c r="R17" i="18"/>
  <c r="U17" i="18" l="1"/>
  <c r="AD17" i="18" l="1"/>
  <c r="BD17" i="18"/>
  <c r="AI17" i="18" l="1"/>
  <c r="AS17" i="18"/>
  <c r="P34" i="18"/>
  <c r="P40" i="18"/>
  <c r="AT17" i="18" l="1"/>
  <c r="Y34" i="5" s="1"/>
  <c r="AC40" i="18"/>
  <c r="AC34" i="18"/>
  <c r="P33" i="18"/>
  <c r="AU17" i="18" l="1"/>
  <c r="BE17" i="18" s="1"/>
  <c r="AC33" i="18"/>
  <c r="AV17" i="18" l="1"/>
  <c r="AA58" i="5"/>
  <c r="Y58" i="5"/>
  <c r="W58" i="5"/>
  <c r="V58" i="5"/>
  <c r="U58" i="5"/>
  <c r="T58" i="5"/>
  <c r="S58" i="5"/>
  <c r="R58" i="5"/>
  <c r="Q58" i="5"/>
  <c r="P58" i="5"/>
  <c r="O58" i="5"/>
  <c r="N58" i="5"/>
  <c r="M58" i="5"/>
  <c r="L58" i="5"/>
  <c r="K58" i="5"/>
  <c r="J58" i="5"/>
  <c r="I58" i="5"/>
  <c r="H58" i="5"/>
  <c r="G58" i="5"/>
  <c r="D58" i="5"/>
  <c r="AA57" i="5"/>
  <c r="Y57" i="5"/>
  <c r="W57" i="5"/>
  <c r="V57" i="5"/>
  <c r="U57" i="5"/>
  <c r="T57" i="5"/>
  <c r="S57" i="5"/>
  <c r="R57" i="5"/>
  <c r="Q57" i="5"/>
  <c r="P57" i="5"/>
  <c r="O57" i="5"/>
  <c r="N57" i="5"/>
  <c r="M57" i="5"/>
  <c r="L57" i="5"/>
  <c r="K57" i="5"/>
  <c r="J57" i="5"/>
  <c r="I57" i="5"/>
  <c r="H57" i="5"/>
  <c r="G57" i="5"/>
  <c r="D57" i="5"/>
  <c r="AA56" i="5"/>
  <c r="Y56" i="5"/>
  <c r="W56" i="5"/>
  <c r="V56" i="5"/>
  <c r="U56" i="5"/>
  <c r="T56" i="5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D56" i="5"/>
  <c r="Y55" i="5"/>
  <c r="W55" i="5"/>
  <c r="V55" i="5"/>
  <c r="U55" i="5"/>
  <c r="T55" i="5"/>
  <c r="Q55" i="5"/>
  <c r="P55" i="5"/>
  <c r="O55" i="5"/>
  <c r="N55" i="5"/>
  <c r="I55" i="5"/>
  <c r="G55" i="5"/>
  <c r="D55" i="5"/>
  <c r="W54" i="5"/>
  <c r="U54" i="5"/>
  <c r="T54" i="5"/>
  <c r="Q54" i="5"/>
  <c r="P54" i="5"/>
  <c r="O54" i="5"/>
  <c r="N54" i="5"/>
  <c r="I54" i="5"/>
  <c r="D54" i="5"/>
  <c r="AA50" i="5"/>
  <c r="Y50" i="5"/>
  <c r="W50" i="5"/>
  <c r="V50" i="5"/>
  <c r="U50" i="5"/>
  <c r="T50" i="5"/>
  <c r="S50" i="5"/>
  <c r="R50" i="5"/>
  <c r="Q50" i="5"/>
  <c r="P50" i="5"/>
  <c r="O50" i="5"/>
  <c r="N50" i="5"/>
  <c r="M50" i="5"/>
  <c r="L50" i="5"/>
  <c r="K50" i="5"/>
  <c r="J50" i="5"/>
  <c r="I50" i="5"/>
  <c r="H50" i="5"/>
  <c r="G50" i="5"/>
  <c r="D50" i="5"/>
  <c r="W49" i="5"/>
  <c r="V49" i="5"/>
  <c r="U49" i="5"/>
  <c r="T49" i="5"/>
  <c r="Q49" i="5"/>
  <c r="P49" i="5"/>
  <c r="O49" i="5"/>
  <c r="N49" i="5"/>
  <c r="K49" i="5"/>
  <c r="I49" i="5"/>
  <c r="G49" i="5"/>
  <c r="D49" i="5"/>
  <c r="AA45" i="5"/>
  <c r="Y45" i="5"/>
  <c r="Z45" i="5" s="1"/>
  <c r="W45" i="5"/>
  <c r="V45" i="5"/>
  <c r="U45" i="5"/>
  <c r="T45" i="5"/>
  <c r="S45" i="5"/>
  <c r="R45" i="5"/>
  <c r="Q45" i="5"/>
  <c r="P45" i="5"/>
  <c r="O45" i="5"/>
  <c r="N45" i="5"/>
  <c r="M45" i="5"/>
  <c r="L45" i="5"/>
  <c r="K45" i="5"/>
  <c r="J45" i="5"/>
  <c r="I45" i="5"/>
  <c r="H45" i="5"/>
  <c r="G45" i="5"/>
  <c r="D45" i="5"/>
  <c r="Y44" i="5"/>
  <c r="W44" i="5"/>
  <c r="V44" i="5"/>
  <c r="U44" i="5"/>
  <c r="T44" i="5"/>
  <c r="Q44" i="5"/>
  <c r="P44" i="5"/>
  <c r="O44" i="5"/>
  <c r="N44" i="5"/>
  <c r="I44" i="5"/>
  <c r="G44" i="5"/>
  <c r="D44" i="5"/>
  <c r="Y43" i="5"/>
  <c r="W43" i="5"/>
  <c r="U43" i="5"/>
  <c r="T43" i="5"/>
  <c r="Q43" i="5"/>
  <c r="P43" i="5"/>
  <c r="O43" i="5"/>
  <c r="N43" i="5"/>
  <c r="I43" i="5"/>
  <c r="D43" i="5"/>
  <c r="W39" i="5"/>
  <c r="T39" i="5"/>
  <c r="S39" i="5"/>
  <c r="Q39" i="5"/>
  <c r="P39" i="5"/>
  <c r="O39" i="5"/>
  <c r="N39" i="5"/>
  <c r="I39" i="5"/>
  <c r="G39" i="5"/>
  <c r="D39" i="5"/>
  <c r="AA38" i="5"/>
  <c r="Y38" i="5"/>
  <c r="Z38" i="5" s="1"/>
  <c r="W38" i="5"/>
  <c r="V38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D38" i="5"/>
  <c r="AA37" i="5"/>
  <c r="Y37" i="5"/>
  <c r="Z37" i="5" s="1"/>
  <c r="W37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D37" i="5"/>
  <c r="AA36" i="5"/>
  <c r="Y36" i="5"/>
  <c r="Z36" i="5" s="1"/>
  <c r="W36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D36" i="5"/>
  <c r="W35" i="5"/>
  <c r="T35" i="5"/>
  <c r="Q35" i="5"/>
  <c r="P35" i="5"/>
  <c r="O35" i="5"/>
  <c r="N35" i="5"/>
  <c r="I35" i="5"/>
  <c r="D35" i="5"/>
  <c r="Y33" i="5"/>
  <c r="U33" i="5"/>
  <c r="T33" i="5"/>
  <c r="Q33" i="5"/>
  <c r="P33" i="5"/>
  <c r="O33" i="5"/>
  <c r="N33" i="5"/>
  <c r="I33" i="5"/>
  <c r="D33" i="5"/>
  <c r="W25" i="5"/>
  <c r="U25" i="5"/>
  <c r="T25" i="5"/>
  <c r="S25" i="5"/>
  <c r="Q25" i="5"/>
  <c r="P25" i="5"/>
  <c r="O25" i="5"/>
  <c r="N25" i="5"/>
  <c r="I25" i="5"/>
  <c r="G25" i="5"/>
  <c r="D25" i="5"/>
  <c r="W24" i="5"/>
  <c r="U24" i="5"/>
  <c r="T24" i="5"/>
  <c r="Q24" i="5"/>
  <c r="P24" i="5"/>
  <c r="O24" i="5"/>
  <c r="N24" i="5"/>
  <c r="I24" i="5"/>
  <c r="D24" i="5"/>
  <c r="AA23" i="5"/>
  <c r="Y23" i="5"/>
  <c r="Z23" i="5" s="1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D23" i="5"/>
  <c r="W22" i="5"/>
  <c r="U22" i="5"/>
  <c r="T22" i="5"/>
  <c r="S22" i="5"/>
  <c r="Q22" i="5"/>
  <c r="P22" i="5"/>
  <c r="O22" i="5"/>
  <c r="N22" i="5"/>
  <c r="K22" i="5"/>
  <c r="J22" i="5"/>
  <c r="I22" i="5"/>
  <c r="G22" i="5"/>
  <c r="D22" i="5"/>
  <c r="W17" i="5"/>
  <c r="T17" i="5"/>
  <c r="Q17" i="5"/>
  <c r="P17" i="5"/>
  <c r="O17" i="5"/>
  <c r="N17" i="5"/>
  <c r="I17" i="5"/>
  <c r="D17" i="5"/>
  <c r="AA16" i="5"/>
  <c r="AA15" i="5"/>
  <c r="Y9" i="5"/>
  <c r="W9" i="5"/>
  <c r="U9" i="5"/>
  <c r="T9" i="5"/>
  <c r="S9" i="5"/>
  <c r="Q9" i="5"/>
  <c r="P9" i="5"/>
  <c r="O9" i="5"/>
  <c r="N9" i="5"/>
  <c r="I9" i="5"/>
  <c r="D9" i="5"/>
  <c r="W8" i="5"/>
  <c r="T8" i="5"/>
  <c r="Q8" i="5"/>
  <c r="P8" i="5"/>
  <c r="O8" i="5"/>
  <c r="N8" i="5"/>
  <c r="I8" i="5"/>
  <c r="G8" i="5"/>
  <c r="D8" i="5"/>
  <c r="T7" i="5"/>
  <c r="Q7" i="5"/>
  <c r="P7" i="5"/>
  <c r="O7" i="5"/>
  <c r="N7" i="5"/>
  <c r="I7" i="5"/>
  <c r="D7" i="5"/>
  <c r="Y6" i="5"/>
  <c r="W6" i="5"/>
  <c r="V6" i="5"/>
  <c r="U6" i="5"/>
  <c r="T6" i="5"/>
  <c r="P6" i="5"/>
  <c r="O6" i="5"/>
  <c r="N6" i="5"/>
  <c r="I6" i="5"/>
  <c r="D6" i="5"/>
  <c r="X50" i="5" l="1"/>
  <c r="Z50" i="5" s="1"/>
  <c r="X56" i="5"/>
  <c r="X57" i="5"/>
  <c r="Z57" i="5" s="1"/>
  <c r="X58" i="5"/>
  <c r="Z58" i="5" s="1"/>
  <c r="K25" i="5"/>
  <c r="J25" i="5"/>
  <c r="X46" i="18"/>
  <c r="Z56" i="5" l="1"/>
  <c r="J49" i="5"/>
  <c r="J44" i="5"/>
  <c r="J8" i="5"/>
  <c r="K8" i="5"/>
  <c r="K39" i="5"/>
  <c r="K44" i="5"/>
  <c r="AK42" i="11"/>
  <c r="AJ42" i="11"/>
  <c r="P48" i="18" l="1"/>
  <c r="AA48" i="18" l="1"/>
  <c r="AC48" i="18" s="1"/>
  <c r="X48" i="18"/>
  <c r="Z48" i="18"/>
  <c r="L22" i="5"/>
  <c r="L25" i="5"/>
  <c r="G24" i="5"/>
  <c r="J24" i="5" l="1"/>
  <c r="K24" i="5"/>
  <c r="H22" i="5" l="1"/>
  <c r="H25" i="5"/>
  <c r="Y22" i="5" l="1"/>
  <c r="Z22" i="5" s="1"/>
  <c r="G53" i="27"/>
  <c r="G50" i="27"/>
  <c r="G62" i="27"/>
  <c r="G59" i="27"/>
  <c r="G14" i="27"/>
  <c r="G17" i="27"/>
  <c r="G68" i="27"/>
  <c r="G71" i="27"/>
  <c r="G26" i="27"/>
  <c r="G23" i="27"/>
  <c r="G32" i="27"/>
  <c r="G35" i="27"/>
  <c r="G44" i="27"/>
  <c r="G41" i="27"/>
  <c r="M22" i="5"/>
  <c r="J39" i="5"/>
  <c r="M25" i="5"/>
  <c r="G17" i="12"/>
  <c r="H17" i="12"/>
  <c r="I17" i="12"/>
  <c r="J17" i="12"/>
  <c r="K17" i="12"/>
  <c r="L17" i="12"/>
  <c r="M17" i="12"/>
  <c r="N17" i="12"/>
  <c r="O17" i="12"/>
  <c r="P17" i="12"/>
  <c r="V17" i="12"/>
  <c r="W17" i="12"/>
  <c r="Y17" i="12"/>
  <c r="AB17" i="12"/>
  <c r="AE17" i="12"/>
  <c r="AF17" i="12"/>
  <c r="AG17" i="12"/>
  <c r="AH17" i="12"/>
  <c r="AJ17" i="12"/>
  <c r="AK17" i="12"/>
  <c r="AM17" i="12"/>
  <c r="AO17" i="12"/>
  <c r="AP17" i="12"/>
  <c r="AR17" i="12"/>
  <c r="AX17" i="12"/>
  <c r="G42" i="12"/>
  <c r="H42" i="12"/>
  <c r="I42" i="12"/>
  <c r="J42" i="12"/>
  <c r="K42" i="12"/>
  <c r="L42" i="12"/>
  <c r="M42" i="12"/>
  <c r="N42" i="12"/>
  <c r="O42" i="12"/>
  <c r="P42" i="12"/>
  <c r="V42" i="12"/>
  <c r="W42" i="12"/>
  <c r="Y42" i="12"/>
  <c r="AB42" i="12"/>
  <c r="AE42" i="12"/>
  <c r="AF42" i="12"/>
  <c r="AG42" i="12"/>
  <c r="AH42" i="12"/>
  <c r="AJ42" i="12"/>
  <c r="AK42" i="12"/>
  <c r="AM42" i="12"/>
  <c r="AO42" i="12"/>
  <c r="AP42" i="12"/>
  <c r="AR42" i="12"/>
  <c r="AX42" i="12"/>
  <c r="Z42" i="12"/>
  <c r="X42" i="12"/>
  <c r="Q46" i="18"/>
  <c r="Y25" i="5" l="1"/>
  <c r="Z25" i="5" s="1"/>
  <c r="AC42" i="12"/>
  <c r="AC44" i="12" s="1"/>
  <c r="L49" i="5"/>
  <c r="R22" i="5"/>
  <c r="AM44" i="12"/>
  <c r="AG44" i="12"/>
  <c r="AP44" i="12"/>
  <c r="Z44" i="12"/>
  <c r="AR44" i="12"/>
  <c r="AK44" i="12"/>
  <c r="AF44" i="12"/>
  <c r="AJ44" i="12"/>
  <c r="AE44" i="12"/>
  <c r="AO44" i="12"/>
  <c r="AH44" i="12"/>
  <c r="V44" i="12"/>
  <c r="P44" i="12"/>
  <c r="R25" i="5"/>
  <c r="T46" i="18"/>
  <c r="T42" i="12" s="1"/>
  <c r="Q42" i="12"/>
  <c r="AA42" i="12"/>
  <c r="R46" i="18"/>
  <c r="R42" i="12" s="1"/>
  <c r="S46" i="18"/>
  <c r="S42" i="12" s="1"/>
  <c r="V22" i="5" l="1"/>
  <c r="V25" i="5"/>
  <c r="U46" i="18"/>
  <c r="AI30" i="11"/>
  <c r="AS30" i="11" s="1"/>
  <c r="D95" i="20" l="1"/>
  <c r="H49" i="5"/>
  <c r="AI42" i="11"/>
  <c r="U42" i="12"/>
  <c r="U44" i="12" s="1"/>
  <c r="AD46" i="18"/>
  <c r="AX49" i="12"/>
  <c r="AT49" i="12"/>
  <c r="AR49" i="12"/>
  <c r="AP49" i="12"/>
  <c r="AO49" i="12"/>
  <c r="AM49" i="12"/>
  <c r="AK49" i="12"/>
  <c r="AJ49" i="12"/>
  <c r="AH49" i="12"/>
  <c r="AG49" i="12"/>
  <c r="AF49" i="12"/>
  <c r="AE49" i="12"/>
  <c r="AB49" i="12"/>
  <c r="Y49" i="12"/>
  <c r="W49" i="12"/>
  <c r="V49" i="12"/>
  <c r="P49" i="12"/>
  <c r="O49" i="12"/>
  <c r="N49" i="12"/>
  <c r="M49" i="12"/>
  <c r="L49" i="12"/>
  <c r="K49" i="12"/>
  <c r="J49" i="12"/>
  <c r="I49" i="12"/>
  <c r="H49" i="12"/>
  <c r="G49" i="12"/>
  <c r="AC49" i="12"/>
  <c r="Z49" i="12"/>
  <c r="Q26" i="18"/>
  <c r="Z17" i="12"/>
  <c r="X17" i="12"/>
  <c r="C28" i="22"/>
  <c r="C21" i="22"/>
  <c r="AI46" i="18" l="1"/>
  <c r="D93" i="20"/>
  <c r="G54" i="27" s="1"/>
  <c r="G56" i="27"/>
  <c r="C88" i="20"/>
  <c r="G49" i="27" s="1"/>
  <c r="AA25" i="5"/>
  <c r="M49" i="5"/>
  <c r="AA22" i="5"/>
  <c r="T26" i="18"/>
  <c r="T49" i="12" s="1"/>
  <c r="AD42" i="12"/>
  <c r="AQ42" i="12"/>
  <c r="X49" i="12"/>
  <c r="Q49" i="12"/>
  <c r="AA49" i="12"/>
  <c r="R26" i="18"/>
  <c r="R49" i="12" s="1"/>
  <c r="S26" i="18"/>
  <c r="S49" i="12" s="1"/>
  <c r="Y47" i="12"/>
  <c r="Y49" i="5" l="1"/>
  <c r="D99" i="20"/>
  <c r="AN46" i="18"/>
  <c r="R49" i="5"/>
  <c r="AQ44" i="12"/>
  <c r="AY42" i="12"/>
  <c r="AY44" i="12" s="1"/>
  <c r="AD44" i="12"/>
  <c r="U26" i="18"/>
  <c r="AT42" i="12"/>
  <c r="AI42" i="12"/>
  <c r="Q17" i="12"/>
  <c r="AA17" i="12"/>
  <c r="R17" i="12"/>
  <c r="T17" i="12"/>
  <c r="BD46" i="18" l="1"/>
  <c r="D96" i="20"/>
  <c r="AS46" i="18"/>
  <c r="AN42" i="12"/>
  <c r="AN44" i="12" s="1"/>
  <c r="S49" i="5"/>
  <c r="X49" i="5" s="1"/>
  <c r="AT44" i="12"/>
  <c r="AI44" i="12"/>
  <c r="U35" i="5"/>
  <c r="U49" i="12"/>
  <c r="AD26" i="18"/>
  <c r="AI26" i="18" s="1"/>
  <c r="U17" i="12"/>
  <c r="S17" i="12"/>
  <c r="AC17" i="12"/>
  <c r="AX48" i="12"/>
  <c r="AX7" i="12"/>
  <c r="AX6" i="12"/>
  <c r="L13" i="16"/>
  <c r="L12" i="16"/>
  <c r="L11" i="16"/>
  <c r="L10" i="16"/>
  <c r="L9" i="16"/>
  <c r="L8" i="16"/>
  <c r="L7" i="16"/>
  <c r="L6" i="16"/>
  <c r="L51" i="12"/>
  <c r="L47" i="12"/>
  <c r="L48" i="12"/>
  <c r="L46" i="12"/>
  <c r="L39" i="12"/>
  <c r="L38" i="12"/>
  <c r="L37" i="12"/>
  <c r="L36" i="12"/>
  <c r="L35" i="12"/>
  <c r="L32" i="12"/>
  <c r="L29" i="12"/>
  <c r="L28" i="12"/>
  <c r="L27" i="12"/>
  <c r="L26" i="12"/>
  <c r="L25" i="12"/>
  <c r="L10" i="12"/>
  <c r="L18" i="12"/>
  <c r="L22" i="12"/>
  <c r="L8" i="12"/>
  <c r="L7" i="12"/>
  <c r="L6" i="12"/>
  <c r="G57" i="27" l="1"/>
  <c r="H96" i="20"/>
  <c r="Z49" i="5"/>
  <c r="X51" i="5"/>
  <c r="AU46" i="18"/>
  <c r="BE46" i="18" s="1"/>
  <c r="AS42" i="12"/>
  <c r="AS44" i="12" s="1"/>
  <c r="AD17" i="12"/>
  <c r="AD49" i="12"/>
  <c r="AY49" i="12" s="1"/>
  <c r="AN49" i="12"/>
  <c r="AY17" i="12" l="1"/>
  <c r="AU42" i="12"/>
  <c r="AU44" i="12" s="1"/>
  <c r="AV46" i="18"/>
  <c r="AA49" i="5" s="1"/>
  <c r="U17" i="5"/>
  <c r="AQ26" i="18"/>
  <c r="BD26" i="18" s="1"/>
  <c r="AI49" i="12"/>
  <c r="AQ17" i="12"/>
  <c r="AS26" i="18" l="1"/>
  <c r="AU26" i="18" s="1"/>
  <c r="AI17" i="12"/>
  <c r="U39" i="5"/>
  <c r="AT17" i="12"/>
  <c r="AQ49" i="12"/>
  <c r="AN17" i="12"/>
  <c r="AR51" i="12"/>
  <c r="AQ51" i="12"/>
  <c r="AP51" i="12"/>
  <c r="AM51" i="12"/>
  <c r="AK51" i="12"/>
  <c r="AP47" i="12"/>
  <c r="AM47" i="12"/>
  <c r="AK47" i="12"/>
  <c r="AR48" i="12"/>
  <c r="AQ48" i="12"/>
  <c r="AP48" i="12"/>
  <c r="AM48" i="12"/>
  <c r="AK48" i="12"/>
  <c r="AQ7" i="12"/>
  <c r="AP7" i="12"/>
  <c r="AM7" i="12"/>
  <c r="AL7" i="12"/>
  <c r="AK7" i="12"/>
  <c r="AR6" i="12"/>
  <c r="AQ6" i="12"/>
  <c r="AP6" i="12"/>
  <c r="AM6" i="12"/>
  <c r="AL6" i="12"/>
  <c r="AK6" i="12"/>
  <c r="C26" i="22"/>
  <c r="AL6" i="18"/>
  <c r="AK6" i="18"/>
  <c r="AJ6" i="18"/>
  <c r="AI6" i="18"/>
  <c r="AH6" i="18"/>
  <c r="AG6" i="18"/>
  <c r="AF6" i="18"/>
  <c r="AE6" i="18"/>
  <c r="AD6" i="18"/>
  <c r="AC6" i="18"/>
  <c r="AB6" i="18"/>
  <c r="AA6" i="18"/>
  <c r="Z6" i="18"/>
  <c r="Y6" i="18"/>
  <c r="X6" i="18"/>
  <c r="W6" i="18"/>
  <c r="V6" i="18"/>
  <c r="U6" i="18"/>
  <c r="T6" i="18"/>
  <c r="S6" i="18"/>
  <c r="R6" i="18"/>
  <c r="Q6" i="18"/>
  <c r="O6" i="18"/>
  <c r="N6" i="18"/>
  <c r="M6" i="18"/>
  <c r="K6" i="18"/>
  <c r="J6" i="18"/>
  <c r="P6" i="18"/>
  <c r="Q44" i="18"/>
  <c r="R44" i="18" s="1"/>
  <c r="K9" i="5" l="1"/>
  <c r="J9" i="5"/>
  <c r="G9" i="5"/>
  <c r="V39" i="5"/>
  <c r="AS49" i="12"/>
  <c r="AS17" i="12"/>
  <c r="T44" i="18"/>
  <c r="S44" i="18"/>
  <c r="AV26" i="18" l="1"/>
  <c r="BE26" i="18"/>
  <c r="AU49" i="12"/>
  <c r="AU17" i="12"/>
  <c r="U44" i="18"/>
  <c r="G22" i="12" l="1"/>
  <c r="H22" i="12"/>
  <c r="I22" i="12"/>
  <c r="J22" i="12"/>
  <c r="K22" i="12"/>
  <c r="M22" i="12"/>
  <c r="N22" i="12"/>
  <c r="O22" i="12"/>
  <c r="W22" i="12"/>
  <c r="Y22" i="12"/>
  <c r="AB22" i="12"/>
  <c r="AF22" i="12"/>
  <c r="AF23" i="12" s="1"/>
  <c r="AG22" i="12"/>
  <c r="AG23" i="12" s="1"/>
  <c r="AH22" i="12"/>
  <c r="AH23" i="12" s="1"/>
  <c r="AK22" i="12"/>
  <c r="AK23" i="12" s="1"/>
  <c r="AM22" i="12"/>
  <c r="AM23" i="12" s="1"/>
  <c r="AO22" i="12"/>
  <c r="AO23" i="12" s="1"/>
  <c r="AP22" i="12"/>
  <c r="AP23" i="12" s="1"/>
  <c r="AX22" i="12"/>
  <c r="P38" i="18"/>
  <c r="D5" i="29" s="1"/>
  <c r="AC38" i="18" l="1"/>
  <c r="G43" i="5"/>
  <c r="B30" i="11"/>
  <c r="L39" i="5" l="1"/>
  <c r="AH7" i="12"/>
  <c r="AG7" i="12"/>
  <c r="AF7" i="12"/>
  <c r="W7" i="12"/>
  <c r="O7" i="12"/>
  <c r="N7" i="12"/>
  <c r="M7" i="12"/>
  <c r="K7" i="12"/>
  <c r="J7" i="12"/>
  <c r="I7" i="12"/>
  <c r="H7" i="12"/>
  <c r="G7" i="12"/>
  <c r="AH48" i="12"/>
  <c r="AG48" i="12"/>
  <c r="AF48" i="12"/>
  <c r="W48" i="12"/>
  <c r="O48" i="12"/>
  <c r="N48" i="12"/>
  <c r="M48" i="12"/>
  <c r="K48" i="12"/>
  <c r="J48" i="12"/>
  <c r="I48" i="12"/>
  <c r="H48" i="12"/>
  <c r="G48" i="12"/>
  <c r="H39" i="5" l="1"/>
  <c r="V54" i="5"/>
  <c r="M39" i="5" l="1"/>
  <c r="V22" i="12"/>
  <c r="R39" i="5" l="1"/>
  <c r="Y39" i="5" l="1"/>
  <c r="Z39" i="5" s="1"/>
  <c r="AE22" i="12"/>
  <c r="AE23" i="12" s="1"/>
  <c r="V35" i="5" l="1"/>
  <c r="AJ22" i="12"/>
  <c r="AJ23" i="12" s="1"/>
  <c r="G13" i="16"/>
  <c r="H13" i="16"/>
  <c r="I13" i="16"/>
  <c r="J13" i="16"/>
  <c r="K13" i="16"/>
  <c r="M13" i="16"/>
  <c r="N13" i="16"/>
  <c r="O13" i="16"/>
  <c r="P13" i="16"/>
  <c r="Q13" i="16"/>
  <c r="R13" i="16"/>
  <c r="S13" i="16"/>
  <c r="T13" i="16"/>
  <c r="U13" i="16"/>
  <c r="V13" i="16"/>
  <c r="W13" i="16"/>
  <c r="Y13" i="16"/>
  <c r="AB13" i="16"/>
  <c r="AC13" i="16"/>
  <c r="AF13" i="16"/>
  <c r="AG13" i="16"/>
  <c r="AH13" i="16"/>
  <c r="AK13" i="16"/>
  <c r="AL13" i="16"/>
  <c r="AM13" i="16"/>
  <c r="AQ13" i="16"/>
  <c r="AX13" i="16"/>
  <c r="AA39" i="5" l="1"/>
  <c r="AQ22" i="12"/>
  <c r="AQ23" i="12" s="1"/>
  <c r="AT22" i="12"/>
  <c r="AT23" i="12" s="1"/>
  <c r="AR22" i="12"/>
  <c r="AR23" i="12" s="1"/>
  <c r="AA13" i="16"/>
  <c r="Q32" i="18"/>
  <c r="Z13" i="16" l="1"/>
  <c r="S32" i="18"/>
  <c r="X13" i="16"/>
  <c r="R32" i="18"/>
  <c r="T32" i="18"/>
  <c r="AE13" i="16" l="1"/>
  <c r="AD13" i="16"/>
  <c r="AY13" i="16" s="1"/>
  <c r="U32" i="18"/>
  <c r="G10" i="16"/>
  <c r="H10" i="16"/>
  <c r="I10" i="16"/>
  <c r="J10" i="16"/>
  <c r="K10" i="16"/>
  <c r="M10" i="16"/>
  <c r="N10" i="16"/>
  <c r="O10" i="16"/>
  <c r="P10" i="16"/>
  <c r="W10" i="16"/>
  <c r="Y10" i="16"/>
  <c r="AB10" i="16"/>
  <c r="AF10" i="16"/>
  <c r="AG10" i="16"/>
  <c r="AH10" i="16"/>
  <c r="AK10" i="16"/>
  <c r="AL10" i="16"/>
  <c r="AM10" i="16"/>
  <c r="AP10" i="16"/>
  <c r="AX11" i="16"/>
  <c r="Q19" i="18"/>
  <c r="Q10" i="16" s="1"/>
  <c r="X10" i="16"/>
  <c r="Z10" i="16"/>
  <c r="AH6" i="12"/>
  <c r="AG6" i="12"/>
  <c r="AF6" i="12"/>
  <c r="W6" i="12"/>
  <c r="O6" i="12"/>
  <c r="N6" i="12"/>
  <c r="M6" i="12"/>
  <c r="K6" i="12"/>
  <c r="J6" i="12"/>
  <c r="I6" i="12"/>
  <c r="H6" i="12"/>
  <c r="G6" i="12"/>
  <c r="AD32" i="18" l="1"/>
  <c r="H34" i="5"/>
  <c r="BD32" i="18"/>
  <c r="AC10" i="16"/>
  <c r="D35" i="20"/>
  <c r="Y35" i="5"/>
  <c r="U8" i="5"/>
  <c r="AP13" i="16"/>
  <c r="Y8" i="5"/>
  <c r="AJ13" i="16"/>
  <c r="AR13" i="16"/>
  <c r="AI13" i="16"/>
  <c r="AA10" i="16"/>
  <c r="S19" i="18"/>
  <c r="T19" i="18"/>
  <c r="R19" i="18"/>
  <c r="AI32" i="18" l="1"/>
  <c r="M34" i="5"/>
  <c r="AN13" i="16"/>
  <c r="S8" i="5"/>
  <c r="AT13" i="16"/>
  <c r="T10" i="16"/>
  <c r="S10" i="16"/>
  <c r="AO13" i="16"/>
  <c r="U19" i="18"/>
  <c r="R10" i="16"/>
  <c r="AN32" i="18" l="1"/>
  <c r="R34" i="5"/>
  <c r="V10" i="16"/>
  <c r="AS13" i="16"/>
  <c r="AP56" i="18"/>
  <c r="AD19" i="18"/>
  <c r="U10" i="16"/>
  <c r="S34" i="5" l="1"/>
  <c r="X34" i="5" s="1"/>
  <c r="Z34" i="5" s="1"/>
  <c r="AS32" i="18"/>
  <c r="AU32" i="18" s="1"/>
  <c r="AV32" i="18" s="1"/>
  <c r="AA34" i="5" s="1"/>
  <c r="AI19" i="18"/>
  <c r="AR19" i="18" s="1"/>
  <c r="U7" i="5"/>
  <c r="AE10" i="16"/>
  <c r="AU13" i="16"/>
  <c r="AD10" i="16"/>
  <c r="BE32" i="18" l="1"/>
  <c r="AB34" i="5"/>
  <c r="AJ10" i="16"/>
  <c r="AI10" i="16"/>
  <c r="BD19" i="18" l="1"/>
  <c r="AQ10" i="16"/>
  <c r="AN10" i="16"/>
  <c r="AO10" i="16"/>
  <c r="AS19" i="18"/>
  <c r="AU19" i="18" s="1"/>
  <c r="AR10" i="16"/>
  <c r="BE19" i="18" l="1"/>
  <c r="AT10" i="16"/>
  <c r="AS10" i="16"/>
  <c r="AU10" i="16" l="1"/>
  <c r="AT30" i="11" l="1"/>
  <c r="K43" i="5" l="1"/>
  <c r="J43" i="5"/>
  <c r="P52" i="18" l="1"/>
  <c r="D4" i="29" s="1"/>
  <c r="E22" i="18"/>
  <c r="F11" i="16" s="1"/>
  <c r="AC52" i="18" l="1"/>
  <c r="K35" i="5"/>
  <c r="J35" i="5"/>
  <c r="G35" i="5"/>
  <c r="AA22" i="12"/>
  <c r="P22" i="12"/>
  <c r="P23" i="12" s="1"/>
  <c r="Z22" i="12" l="1"/>
  <c r="Z23" i="12" s="1"/>
  <c r="X22" i="12"/>
  <c r="X23" i="12" s="1"/>
  <c r="E10" i="29" l="1"/>
  <c r="G12" i="16" l="1"/>
  <c r="H12" i="16"/>
  <c r="I12" i="16"/>
  <c r="J12" i="16"/>
  <c r="K12" i="16"/>
  <c r="M12" i="16"/>
  <c r="N12" i="16"/>
  <c r="O12" i="16"/>
  <c r="P12" i="16"/>
  <c r="W12" i="16"/>
  <c r="Y12" i="16"/>
  <c r="AF12" i="16"/>
  <c r="AG12" i="16"/>
  <c r="AH12" i="16"/>
  <c r="AK12" i="16"/>
  <c r="AL12" i="16"/>
  <c r="AM12" i="16"/>
  <c r="AN12" i="16"/>
  <c r="AO12" i="16"/>
  <c r="AP12" i="16"/>
  <c r="AX10" i="16"/>
  <c r="X12" i="16"/>
  <c r="Z12" i="16"/>
  <c r="AA12" i="16"/>
  <c r="AB12" i="16"/>
  <c r="Q39" i="18"/>
  <c r="D3" i="29" l="1"/>
  <c r="G10" i="29"/>
  <c r="F10" i="29"/>
  <c r="I10" i="29" s="1"/>
  <c r="D26" i="29" s="1"/>
  <c r="AC47" i="18"/>
  <c r="G6" i="5"/>
  <c r="S39" i="18"/>
  <c r="Q12" i="16"/>
  <c r="T39" i="18"/>
  <c r="T12" i="16" s="1"/>
  <c r="L9" i="5"/>
  <c r="R39" i="18"/>
  <c r="K6" i="5" l="1"/>
  <c r="J6" i="5"/>
  <c r="S12" i="16"/>
  <c r="U39" i="18"/>
  <c r="H9" i="5" s="1"/>
  <c r="R12" i="16"/>
  <c r="AC12" i="16"/>
  <c r="AX32" i="12"/>
  <c r="V24" i="5" l="1"/>
  <c r="V12" i="16"/>
  <c r="U12" i="16"/>
  <c r="AD39" i="18"/>
  <c r="H126" i="20"/>
  <c r="H123" i="20"/>
  <c r="H122" i="20"/>
  <c r="H110" i="20"/>
  <c r="H107" i="20"/>
  <c r="H106" i="20"/>
  <c r="H94" i="20"/>
  <c r="H91" i="20"/>
  <c r="H90" i="20"/>
  <c r="H79" i="20"/>
  <c r="H76" i="20"/>
  <c r="H75" i="20"/>
  <c r="H63" i="20"/>
  <c r="H60" i="20"/>
  <c r="H59" i="20"/>
  <c r="M9" i="5" l="1"/>
  <c r="AI39" i="18"/>
  <c r="AE12" i="16"/>
  <c r="AD12" i="16"/>
  <c r="AY10" i="16" s="1"/>
  <c r="AA51" i="5"/>
  <c r="R9" i="5" l="1"/>
  <c r="AJ12" i="16"/>
  <c r="AQ39" i="18"/>
  <c r="BD39" i="18" s="1"/>
  <c r="AI12" i="16"/>
  <c r="AH42" i="11"/>
  <c r="AG42" i="11"/>
  <c r="AF42" i="11"/>
  <c r="AE42" i="11"/>
  <c r="AD27" i="11"/>
  <c r="AS27" i="11" s="1"/>
  <c r="AS39" i="18" l="1"/>
  <c r="V9" i="5"/>
  <c r="X9" i="5" s="1"/>
  <c r="Z9" i="5" s="1"/>
  <c r="AR12" i="16"/>
  <c r="AD42" i="11"/>
  <c r="AQ12" i="16"/>
  <c r="AT29" i="11"/>
  <c r="G9" i="16"/>
  <c r="H9" i="16"/>
  <c r="I9" i="16"/>
  <c r="J9" i="16"/>
  <c r="K9" i="16"/>
  <c r="M9" i="16"/>
  <c r="N9" i="16"/>
  <c r="O9" i="16"/>
  <c r="P9" i="16"/>
  <c r="W9" i="16"/>
  <c r="Y9" i="16"/>
  <c r="AB9" i="16"/>
  <c r="AF9" i="16"/>
  <c r="AG9" i="16"/>
  <c r="AH9" i="16"/>
  <c r="AK9" i="16"/>
  <c r="AL9" i="16"/>
  <c r="AM9" i="16"/>
  <c r="AN9" i="16"/>
  <c r="AO9" i="16"/>
  <c r="AX9" i="16"/>
  <c r="L8" i="5"/>
  <c r="Z9" i="16"/>
  <c r="X9" i="16"/>
  <c r="Q14" i="18"/>
  <c r="T14" i="18" s="1"/>
  <c r="G28" i="12"/>
  <c r="H28" i="12"/>
  <c r="I28" i="12"/>
  <c r="J28" i="12"/>
  <c r="K28" i="12"/>
  <c r="M28" i="12"/>
  <c r="N28" i="12"/>
  <c r="O28" i="12"/>
  <c r="P28" i="12"/>
  <c r="W28" i="12"/>
  <c r="Y28" i="12"/>
  <c r="AB28" i="12"/>
  <c r="AF28" i="12"/>
  <c r="AG28" i="12"/>
  <c r="AH28" i="12"/>
  <c r="AK28" i="12"/>
  <c r="AL28" i="12"/>
  <c r="AM28" i="12"/>
  <c r="AO28" i="12"/>
  <c r="AP28" i="12"/>
  <c r="AX28" i="12"/>
  <c r="Q38" i="18"/>
  <c r="X28" i="12"/>
  <c r="Z28" i="12"/>
  <c r="AA28" i="12"/>
  <c r="AU39" i="18" l="1"/>
  <c r="BE39" i="18" s="1"/>
  <c r="Z7" i="12"/>
  <c r="AS12" i="16"/>
  <c r="AT12" i="16"/>
  <c r="P7" i="12"/>
  <c r="R38" i="18"/>
  <c r="AC9" i="16"/>
  <c r="AA9" i="16"/>
  <c r="Q9" i="16"/>
  <c r="S14" i="18"/>
  <c r="S9" i="16" s="1"/>
  <c r="R14" i="18"/>
  <c r="R9" i="16" s="1"/>
  <c r="Q28" i="12"/>
  <c r="S38" i="18"/>
  <c r="T38" i="18"/>
  <c r="AV39" i="18" l="1"/>
  <c r="AA9" i="5" s="1"/>
  <c r="AA7" i="12"/>
  <c r="AB7" i="12"/>
  <c r="T9" i="16"/>
  <c r="X7" i="12"/>
  <c r="Y7" i="12"/>
  <c r="T28" i="12"/>
  <c r="AC28" i="12"/>
  <c r="R28" i="12"/>
  <c r="AU12" i="16"/>
  <c r="H8" i="5"/>
  <c r="U14" i="18"/>
  <c r="U38" i="18"/>
  <c r="V28" i="12" s="1"/>
  <c r="S28" i="12"/>
  <c r="V9" i="16" l="1"/>
  <c r="AD14" i="18"/>
  <c r="U9" i="16"/>
  <c r="AD38" i="18"/>
  <c r="AI38" i="18" s="1"/>
  <c r="U28" i="12"/>
  <c r="AN38" i="18" l="1"/>
  <c r="AI14" i="18"/>
  <c r="D68" i="20"/>
  <c r="D19" i="20"/>
  <c r="Y7" i="5"/>
  <c r="M8" i="5"/>
  <c r="G5" i="27"/>
  <c r="G8" i="27"/>
  <c r="AE9" i="16"/>
  <c r="AE28" i="12"/>
  <c r="H105" i="20"/>
  <c r="H108" i="20"/>
  <c r="H61" i="20"/>
  <c r="H58" i="20"/>
  <c r="H74" i="20"/>
  <c r="H77" i="20"/>
  <c r="H89" i="20"/>
  <c r="H92" i="20"/>
  <c r="H121" i="20"/>
  <c r="H124" i="20"/>
  <c r="AD9" i="16"/>
  <c r="AY9" i="16" s="1"/>
  <c r="AD28" i="12"/>
  <c r="AY28" i="12" s="1"/>
  <c r="AN28" i="12" l="1"/>
  <c r="BD38" i="18"/>
  <c r="D131" i="20"/>
  <c r="Y17" i="5"/>
  <c r="AQ14" i="18"/>
  <c r="BD14" i="18" s="1"/>
  <c r="R8" i="5"/>
  <c r="Y54" i="5"/>
  <c r="AJ28" i="12"/>
  <c r="AJ9" i="16"/>
  <c r="AI28" i="12"/>
  <c r="AS38" i="18"/>
  <c r="AU38" i="18" s="1"/>
  <c r="AI9" i="16"/>
  <c r="AV38" i="18" l="1"/>
  <c r="BE38" i="18"/>
  <c r="AS14" i="18"/>
  <c r="V8" i="5"/>
  <c r="X8" i="5" s="1"/>
  <c r="Z8" i="5" s="1"/>
  <c r="V17" i="5"/>
  <c r="AR28" i="12"/>
  <c r="AR9" i="16"/>
  <c r="AQ9" i="16"/>
  <c r="AQ28" i="12"/>
  <c r="AP9" i="16"/>
  <c r="AU14" i="18" l="1"/>
  <c r="BE14" i="18" s="1"/>
  <c r="AA8" i="5"/>
  <c r="AT9" i="16"/>
  <c r="AT28" i="12"/>
  <c r="AS28" i="12"/>
  <c r="AS9" i="16"/>
  <c r="K17" i="5" l="1"/>
  <c r="J17" i="5"/>
  <c r="G17" i="5"/>
  <c r="AU28" i="12"/>
  <c r="AU9" i="16"/>
  <c r="P49" i="18" l="1"/>
  <c r="AP32" i="12"/>
  <c r="AO32" i="12"/>
  <c r="AM32" i="12"/>
  <c r="AK32" i="12"/>
  <c r="AH32" i="12"/>
  <c r="AG32" i="12"/>
  <c r="AF32" i="12"/>
  <c r="AC32" i="12"/>
  <c r="AB32" i="12"/>
  <c r="AA32" i="12"/>
  <c r="Z32" i="12"/>
  <c r="Y32" i="12"/>
  <c r="W32" i="12"/>
  <c r="P32" i="12"/>
  <c r="O32" i="12"/>
  <c r="N32" i="12"/>
  <c r="M32" i="12"/>
  <c r="K32" i="12"/>
  <c r="J32" i="12"/>
  <c r="I32" i="12"/>
  <c r="H32" i="12"/>
  <c r="G32" i="12"/>
  <c r="X32" i="12"/>
  <c r="Q29" i="18"/>
  <c r="T29" i="18" l="1"/>
  <c r="T30" i="12" s="1"/>
  <c r="Q30" i="12"/>
  <c r="D7" i="29"/>
  <c r="D14" i="29" s="1"/>
  <c r="D15" i="29"/>
  <c r="AC49" i="18"/>
  <c r="J54" i="5"/>
  <c r="K54" i="5"/>
  <c r="X6" i="12"/>
  <c r="Z6" i="12"/>
  <c r="G54" i="5"/>
  <c r="G33" i="5"/>
  <c r="AB6" i="12"/>
  <c r="Y6" i="12"/>
  <c r="P48" i="12"/>
  <c r="K55" i="5"/>
  <c r="AB48" i="12"/>
  <c r="P6" i="12"/>
  <c r="Q32" i="12"/>
  <c r="R29" i="18"/>
  <c r="S29" i="18"/>
  <c r="S32" i="12" l="1"/>
  <c r="S30" i="12"/>
  <c r="R32" i="12"/>
  <c r="R30" i="12"/>
  <c r="D16" i="29"/>
  <c r="J33" i="5"/>
  <c r="K33" i="5"/>
  <c r="Y48" i="12"/>
  <c r="J55" i="5"/>
  <c r="AA48" i="12"/>
  <c r="T32" i="12"/>
  <c r="X48" i="12"/>
  <c r="Z48" i="12"/>
  <c r="AA6" i="12"/>
  <c r="U29" i="18"/>
  <c r="U30" i="12" s="1"/>
  <c r="U32" i="12" l="1"/>
  <c r="V32" i="12"/>
  <c r="AD29" i="18"/>
  <c r="AI29" i="18" l="1"/>
  <c r="AI30" i="12" s="1"/>
  <c r="AD30" i="12"/>
  <c r="AY30" i="12" s="1"/>
  <c r="AD32" i="12"/>
  <c r="AY32" i="12" s="1"/>
  <c r="AE32" i="12"/>
  <c r="AN29" i="18" l="1"/>
  <c r="AN30" i="12" s="1"/>
  <c r="AN32" i="12"/>
  <c r="AJ32" i="12"/>
  <c r="AI32" i="12"/>
  <c r="AR32" i="12"/>
  <c r="BD29" i="18" l="1"/>
  <c r="AS29" i="18"/>
  <c r="V43" i="5"/>
  <c r="AQ32" i="12"/>
  <c r="AU29" i="18" l="1"/>
  <c r="AU30" i="12" s="1"/>
  <c r="AS30" i="12"/>
  <c r="AT32" i="12"/>
  <c r="AS32" i="12"/>
  <c r="AV29" i="18" l="1"/>
  <c r="BE29" i="18"/>
  <c r="AU32" i="12"/>
  <c r="Q41" i="18" l="1"/>
  <c r="T41" i="18" l="1"/>
  <c r="R41" i="18"/>
  <c r="S41" i="18"/>
  <c r="U41" i="18" l="1"/>
  <c r="G39" i="12" l="1"/>
  <c r="H39" i="12"/>
  <c r="I39" i="12"/>
  <c r="J39" i="12"/>
  <c r="K39" i="12"/>
  <c r="M39" i="12"/>
  <c r="N39" i="12"/>
  <c r="O39" i="12"/>
  <c r="P39" i="12"/>
  <c r="Q39" i="12"/>
  <c r="R39" i="12"/>
  <c r="S39" i="12"/>
  <c r="T39" i="12"/>
  <c r="V39" i="12"/>
  <c r="W39" i="12"/>
  <c r="Y39" i="12"/>
  <c r="AB39" i="12"/>
  <c r="AF39" i="12"/>
  <c r="AG39" i="12"/>
  <c r="AH39" i="12"/>
  <c r="AK39" i="12"/>
  <c r="AL39" i="12"/>
  <c r="AM39" i="12"/>
  <c r="AP39" i="12"/>
  <c r="AR39" i="12"/>
  <c r="AX39" i="12"/>
  <c r="Z39" i="12" l="1"/>
  <c r="X39" i="12" l="1"/>
  <c r="U39" i="12"/>
  <c r="AA39" i="12" l="1"/>
  <c r="AX8" i="16"/>
  <c r="AX12" i="16"/>
  <c r="AC39" i="12" l="1"/>
  <c r="AD41" i="18"/>
  <c r="AI41" i="18" s="1"/>
  <c r="AE39" i="12" l="1"/>
  <c r="AD39" i="12"/>
  <c r="AY39" i="12" s="1"/>
  <c r="AT28" i="11"/>
  <c r="AJ39" i="12" l="1"/>
  <c r="AN41" i="18"/>
  <c r="AI39" i="12"/>
  <c r="C24" i="25"/>
  <c r="C29" i="25" s="1"/>
  <c r="C43" i="25"/>
  <c r="F38" i="25"/>
  <c r="C37" i="25"/>
  <c r="C13" i="25"/>
  <c r="C16" i="25" s="1"/>
  <c r="H2" i="25"/>
  <c r="BD41" i="18" l="1"/>
  <c r="AS41" i="18"/>
  <c r="L43" i="5"/>
  <c r="AO39" i="12"/>
  <c r="AN39" i="12"/>
  <c r="AQ39" i="12"/>
  <c r="C14" i="25"/>
  <c r="C15" i="25"/>
  <c r="AU41" i="18" l="1"/>
  <c r="AV41" i="18" s="1"/>
  <c r="AT39" i="12"/>
  <c r="AS39" i="12"/>
  <c r="C22" i="25"/>
  <c r="C30" i="25" s="1"/>
  <c r="BE41" i="18" l="1"/>
  <c r="AU39" i="12"/>
  <c r="F39" i="22"/>
  <c r="BQ3" i="24"/>
  <c r="BP3" i="24"/>
  <c r="BO3" i="24"/>
  <c r="BN3" i="24"/>
  <c r="BM3" i="24"/>
  <c r="BL3" i="24"/>
  <c r="BK3" i="24"/>
  <c r="BJ3" i="24"/>
  <c r="BI3" i="24"/>
  <c r="BH3" i="24"/>
  <c r="BG3" i="24"/>
  <c r="BF3" i="24"/>
  <c r="BE3" i="24"/>
  <c r="BD3" i="24"/>
  <c r="BC3" i="24"/>
  <c r="BB3" i="24"/>
  <c r="BA3" i="24"/>
  <c r="AY3" i="24"/>
  <c r="AX3" i="24"/>
  <c r="AW3" i="24"/>
  <c r="AV3" i="24"/>
  <c r="AU3" i="24"/>
  <c r="AT3" i="24"/>
  <c r="AS3" i="24"/>
  <c r="AR3" i="24"/>
  <c r="AQ3" i="24"/>
  <c r="AP3" i="24"/>
  <c r="AO3" i="24"/>
  <c r="AN3" i="24"/>
  <c r="AM3" i="24"/>
  <c r="AL3" i="24"/>
  <c r="AK3" i="24"/>
  <c r="AJ3" i="24"/>
  <c r="AI3" i="24"/>
  <c r="AH3" i="24"/>
  <c r="AG3" i="24"/>
  <c r="AF3" i="24"/>
  <c r="AE3" i="24"/>
  <c r="AD3" i="24"/>
  <c r="AC3" i="24"/>
  <c r="AB3" i="24"/>
  <c r="AA3" i="24"/>
  <c r="Z3" i="24"/>
  <c r="Y3" i="24"/>
  <c r="X3" i="24"/>
  <c r="W3" i="24"/>
  <c r="V3" i="24"/>
  <c r="U3" i="24"/>
  <c r="T3" i="24"/>
  <c r="S3" i="24"/>
  <c r="R3" i="24"/>
  <c r="Q3" i="24"/>
  <c r="P3" i="24"/>
  <c r="O3" i="24"/>
  <c r="N3" i="24"/>
  <c r="M3" i="24"/>
  <c r="L3" i="24"/>
  <c r="K3" i="24"/>
  <c r="J3" i="24"/>
  <c r="I3" i="24"/>
  <c r="H3" i="24"/>
  <c r="G3" i="24"/>
  <c r="F3" i="24"/>
  <c r="E3" i="24"/>
  <c r="D3" i="24"/>
  <c r="C3" i="24"/>
  <c r="AZ3" i="24"/>
  <c r="G7" i="24"/>
  <c r="L7" i="24"/>
  <c r="Q7" i="24"/>
  <c r="V7" i="24"/>
  <c r="AA7" i="24"/>
  <c r="AF7" i="24"/>
  <c r="AK7" i="24"/>
  <c r="AP7" i="24"/>
  <c r="AU7" i="24"/>
  <c r="AZ7" i="24"/>
  <c r="BE7" i="24"/>
  <c r="BJ7" i="24"/>
  <c r="BL7" i="24"/>
  <c r="BM7" i="24" s="1"/>
  <c r="BO7" i="24"/>
  <c r="BP7" i="24" s="1"/>
  <c r="BQ7" i="24"/>
  <c r="BS7" i="24"/>
  <c r="BT7" i="24"/>
  <c r="BU7" i="24"/>
  <c r="BV7" i="24"/>
  <c r="BX7" i="24"/>
  <c r="BY7" i="24"/>
  <c r="BZ7" i="24"/>
  <c r="G8" i="24"/>
  <c r="L8" i="24"/>
  <c r="Q8" i="24"/>
  <c r="V8" i="24"/>
  <c r="AA8" i="24"/>
  <c r="AF8" i="24"/>
  <c r="AK8" i="24"/>
  <c r="AP8" i="24"/>
  <c r="AU8" i="24"/>
  <c r="AZ8" i="24"/>
  <c r="BE8" i="24"/>
  <c r="BJ8" i="24"/>
  <c r="BL8" i="24"/>
  <c r="BM8" i="24" s="1"/>
  <c r="BO8" i="24"/>
  <c r="BP8" i="24" s="1"/>
  <c r="BQ8" i="24"/>
  <c r="BS8" i="24"/>
  <c r="BT8" i="24"/>
  <c r="BU8" i="24"/>
  <c r="BV8" i="24"/>
  <c r="G9" i="24"/>
  <c r="L9" i="24"/>
  <c r="Q9" i="24"/>
  <c r="V9" i="24"/>
  <c r="AA9" i="24"/>
  <c r="AF9" i="24"/>
  <c r="AK9" i="24"/>
  <c r="AP9" i="24"/>
  <c r="AU9" i="24"/>
  <c r="AZ9" i="24"/>
  <c r="BE9" i="24"/>
  <c r="BJ9" i="24"/>
  <c r="BL9" i="24"/>
  <c r="BM9" i="24" s="1"/>
  <c r="BO9" i="24"/>
  <c r="BP9" i="24" s="1"/>
  <c r="BQ9" i="24"/>
  <c r="BS9" i="24"/>
  <c r="BT9" i="24"/>
  <c r="BU9" i="24"/>
  <c r="BV9" i="24"/>
  <c r="G10" i="24"/>
  <c r="L10" i="24"/>
  <c r="Q10" i="24"/>
  <c r="V10" i="24"/>
  <c r="AA10" i="24"/>
  <c r="AF10" i="24"/>
  <c r="AK10" i="24"/>
  <c r="AP10" i="24"/>
  <c r="AU10" i="24"/>
  <c r="AZ10" i="24"/>
  <c r="BE10" i="24"/>
  <c r="BJ10" i="24"/>
  <c r="BL10" i="24"/>
  <c r="BM10" i="24" s="1"/>
  <c r="BO10" i="24"/>
  <c r="BP10" i="24" s="1"/>
  <c r="BQ10" i="24"/>
  <c r="BS10" i="24"/>
  <c r="BT10" i="24"/>
  <c r="BU10" i="24"/>
  <c r="BV10" i="24"/>
  <c r="G11" i="24"/>
  <c r="L11" i="24"/>
  <c r="Q11" i="24"/>
  <c r="V11" i="24"/>
  <c r="AA11" i="24"/>
  <c r="AF11" i="24"/>
  <c r="AK11" i="24"/>
  <c r="AP11" i="24"/>
  <c r="AU11" i="24"/>
  <c r="AZ11" i="24"/>
  <c r="BE11" i="24"/>
  <c r="BJ11" i="24"/>
  <c r="BL11" i="24"/>
  <c r="BM11" i="24" s="1"/>
  <c r="BO11" i="24"/>
  <c r="BP11" i="24" s="1"/>
  <c r="BQ11" i="24"/>
  <c r="BS11" i="24"/>
  <c r="BT11" i="24"/>
  <c r="BU11" i="24"/>
  <c r="BV11" i="24"/>
  <c r="G12" i="24"/>
  <c r="L12" i="24"/>
  <c r="Q12" i="24"/>
  <c r="V12" i="24"/>
  <c r="AA12" i="24"/>
  <c r="AF12" i="24"/>
  <c r="AK12" i="24"/>
  <c r="AP12" i="24"/>
  <c r="AU12" i="24"/>
  <c r="AZ12" i="24"/>
  <c r="BE12" i="24"/>
  <c r="BJ12" i="24"/>
  <c r="BL12" i="24"/>
  <c r="BM12" i="24" s="1"/>
  <c r="BO12" i="24"/>
  <c r="BP12" i="24" s="1"/>
  <c r="BQ12" i="24"/>
  <c r="BS12" i="24"/>
  <c r="BT12" i="24"/>
  <c r="BU12" i="24"/>
  <c r="BV12" i="24"/>
  <c r="G13" i="24"/>
  <c r="L13" i="24"/>
  <c r="Q13" i="24"/>
  <c r="V13" i="24"/>
  <c r="AA13" i="24"/>
  <c r="AF13" i="24"/>
  <c r="AK13" i="24"/>
  <c r="AP13" i="24"/>
  <c r="AU13" i="24"/>
  <c r="AZ13" i="24"/>
  <c r="BE13" i="24"/>
  <c r="BJ13" i="24"/>
  <c r="BL13" i="24"/>
  <c r="BM13" i="24" s="1"/>
  <c r="BO13" i="24"/>
  <c r="BP13" i="24" s="1"/>
  <c r="BQ13" i="24"/>
  <c r="BS13" i="24"/>
  <c r="BT13" i="24"/>
  <c r="BU13" i="24"/>
  <c r="BV13" i="24"/>
  <c r="G14" i="24"/>
  <c r="L14" i="24"/>
  <c r="Q14" i="24"/>
  <c r="V14" i="24"/>
  <c r="AA14" i="24"/>
  <c r="AF14" i="24"/>
  <c r="AK14" i="24"/>
  <c r="AP14" i="24"/>
  <c r="AU14" i="24"/>
  <c r="AZ14" i="24"/>
  <c r="BE14" i="24"/>
  <c r="BJ14" i="24"/>
  <c r="BL14" i="24"/>
  <c r="BM14" i="24" s="1"/>
  <c r="BO14" i="24"/>
  <c r="BP14" i="24" s="1"/>
  <c r="BQ14" i="24"/>
  <c r="BS14" i="24"/>
  <c r="BT14" i="24"/>
  <c r="BU14" i="24"/>
  <c r="BV14" i="24"/>
  <c r="G15" i="24"/>
  <c r="L15" i="24"/>
  <c r="Q15" i="24"/>
  <c r="V15" i="24"/>
  <c r="AA15" i="24"/>
  <c r="AF15" i="24"/>
  <c r="AK15" i="24"/>
  <c r="AP15" i="24"/>
  <c r="AU15" i="24"/>
  <c r="AZ15" i="24"/>
  <c r="BE15" i="24"/>
  <c r="BJ15" i="24"/>
  <c r="BL15" i="24"/>
  <c r="BM15" i="24" s="1"/>
  <c r="BO15" i="24"/>
  <c r="BP15" i="24" s="1"/>
  <c r="BQ15" i="24"/>
  <c r="BS15" i="24"/>
  <c r="BT15" i="24"/>
  <c r="BU15" i="24"/>
  <c r="BV15" i="24"/>
  <c r="G16" i="24"/>
  <c r="L16" i="24"/>
  <c r="Q16" i="24"/>
  <c r="V16" i="24"/>
  <c r="AA16" i="24"/>
  <c r="AF16" i="24"/>
  <c r="AK16" i="24"/>
  <c r="AP16" i="24"/>
  <c r="AU16" i="24"/>
  <c r="AZ16" i="24"/>
  <c r="BE16" i="24"/>
  <c r="BJ16" i="24"/>
  <c r="BL16" i="24"/>
  <c r="BM16" i="24" s="1"/>
  <c r="BO16" i="24"/>
  <c r="BP16" i="24" s="1"/>
  <c r="BQ16" i="24"/>
  <c r="BS16" i="24"/>
  <c r="BT16" i="24"/>
  <c r="BU16" i="24"/>
  <c r="BV16" i="24"/>
  <c r="G17" i="24"/>
  <c r="L17" i="24"/>
  <c r="Q17" i="24"/>
  <c r="V17" i="24"/>
  <c r="AA17" i="24"/>
  <c r="AF17" i="24"/>
  <c r="AK17" i="24"/>
  <c r="AP17" i="24"/>
  <c r="AU17" i="24"/>
  <c r="F39" i="25" s="1"/>
  <c r="AZ17" i="24"/>
  <c r="BE17" i="24"/>
  <c r="BJ17" i="24"/>
  <c r="BL17" i="24"/>
  <c r="BM17" i="24" s="1"/>
  <c r="BO17" i="24"/>
  <c r="BP17" i="24" s="1"/>
  <c r="BQ17" i="24"/>
  <c r="BS17" i="24"/>
  <c r="BT17" i="24"/>
  <c r="BU17" i="24"/>
  <c r="BV17" i="24"/>
  <c r="G18" i="24"/>
  <c r="L18" i="24"/>
  <c r="Q18" i="24"/>
  <c r="V18" i="24"/>
  <c r="AA18" i="24"/>
  <c r="AF18" i="24"/>
  <c r="AK18" i="24"/>
  <c r="AP18" i="24"/>
  <c r="AU18" i="24"/>
  <c r="AZ18" i="24"/>
  <c r="BE18" i="24"/>
  <c r="BJ18" i="24"/>
  <c r="BL18" i="24"/>
  <c r="BM18" i="24" s="1"/>
  <c r="BO18" i="24"/>
  <c r="BP18" i="24" s="1"/>
  <c r="BQ18" i="24"/>
  <c r="BS18" i="24"/>
  <c r="BT18" i="24"/>
  <c r="BU18" i="24"/>
  <c r="BV18" i="24"/>
  <c r="G19" i="24"/>
  <c r="L19" i="24"/>
  <c r="Q19" i="24"/>
  <c r="V19" i="24"/>
  <c r="AA19" i="24"/>
  <c r="AF19" i="24"/>
  <c r="AK19" i="24"/>
  <c r="AP19" i="24"/>
  <c r="AU19" i="24"/>
  <c r="AZ19" i="24"/>
  <c r="BE19" i="24"/>
  <c r="BJ19" i="24"/>
  <c r="BL19" i="24"/>
  <c r="BM19" i="24" s="1"/>
  <c r="BO19" i="24"/>
  <c r="BP19" i="24" s="1"/>
  <c r="BQ19" i="24"/>
  <c r="BS19" i="24"/>
  <c r="BT19" i="24"/>
  <c r="BU19" i="24"/>
  <c r="BV19" i="24"/>
  <c r="G20" i="24"/>
  <c r="L20" i="24"/>
  <c r="Q20" i="24"/>
  <c r="V20" i="24"/>
  <c r="AA20" i="24"/>
  <c r="AF20" i="24"/>
  <c r="AK20" i="24"/>
  <c r="AP20" i="24"/>
  <c r="AU20" i="24"/>
  <c r="AZ20" i="24"/>
  <c r="BE20" i="24"/>
  <c r="BJ20" i="24"/>
  <c r="BL20" i="24"/>
  <c r="BM20" i="24" s="1"/>
  <c r="BO20" i="24"/>
  <c r="BP20" i="24" s="1"/>
  <c r="BQ20" i="24"/>
  <c r="BS20" i="24"/>
  <c r="BT20" i="24"/>
  <c r="BU20" i="24"/>
  <c r="BV20" i="24"/>
  <c r="G21" i="24"/>
  <c r="L21" i="24"/>
  <c r="Q21" i="24"/>
  <c r="V21" i="24"/>
  <c r="AA21" i="24"/>
  <c r="AF21" i="24"/>
  <c r="AK21" i="24"/>
  <c r="AP21" i="24"/>
  <c r="AU21" i="24"/>
  <c r="AZ21" i="24"/>
  <c r="BE21" i="24"/>
  <c r="BJ21" i="24"/>
  <c r="BL21" i="24"/>
  <c r="BM21" i="24" s="1"/>
  <c r="BO21" i="24"/>
  <c r="BP21" i="24" s="1"/>
  <c r="BQ21" i="24"/>
  <c r="BS21" i="24"/>
  <c r="BT21" i="24"/>
  <c r="BU21" i="24"/>
  <c r="BV21" i="24"/>
  <c r="G22" i="24"/>
  <c r="L22" i="24"/>
  <c r="Q22" i="24"/>
  <c r="V22" i="24"/>
  <c r="AA22" i="24"/>
  <c r="AF22" i="24"/>
  <c r="AK22" i="24"/>
  <c r="AP22" i="24"/>
  <c r="AU22" i="24"/>
  <c r="AZ22" i="24"/>
  <c r="BE22" i="24"/>
  <c r="BJ22" i="24"/>
  <c r="BL22" i="24"/>
  <c r="BM22" i="24" s="1"/>
  <c r="BO22" i="24"/>
  <c r="BP22" i="24" s="1"/>
  <c r="BQ22" i="24"/>
  <c r="BS22" i="24"/>
  <c r="BT22" i="24"/>
  <c r="BU22" i="24"/>
  <c r="BV22" i="24"/>
  <c r="G23" i="24"/>
  <c r="L23" i="24"/>
  <c r="Q23" i="24"/>
  <c r="V23" i="24"/>
  <c r="AA23" i="24"/>
  <c r="AF23" i="24"/>
  <c r="AK23" i="24"/>
  <c r="AP23" i="24"/>
  <c r="AU23" i="24"/>
  <c r="AZ23" i="24"/>
  <c r="BE23" i="24"/>
  <c r="BJ23" i="24"/>
  <c r="BL23" i="24"/>
  <c r="BM23" i="24" s="1"/>
  <c r="BO23" i="24"/>
  <c r="BP23" i="24" s="1"/>
  <c r="BQ23" i="24"/>
  <c r="BS23" i="24"/>
  <c r="BT23" i="24"/>
  <c r="BU23" i="24"/>
  <c r="BV23" i="24"/>
  <c r="G24" i="24"/>
  <c r="L24" i="24"/>
  <c r="Q24" i="24"/>
  <c r="V24" i="24"/>
  <c r="AA24" i="24"/>
  <c r="AF24" i="24"/>
  <c r="AK24" i="24"/>
  <c r="AP24" i="24"/>
  <c r="AU24" i="24"/>
  <c r="AZ24" i="24"/>
  <c r="BE24" i="24"/>
  <c r="BJ24" i="24"/>
  <c r="BL24" i="24"/>
  <c r="BM24" i="24" s="1"/>
  <c r="BO24" i="24"/>
  <c r="BP24" i="24" s="1"/>
  <c r="BQ24" i="24"/>
  <c r="BS24" i="24"/>
  <c r="BT24" i="24"/>
  <c r="BU24" i="24"/>
  <c r="BV24" i="24"/>
  <c r="G25" i="24"/>
  <c r="L25" i="24"/>
  <c r="Q25" i="24"/>
  <c r="V25" i="24"/>
  <c r="AA25" i="24"/>
  <c r="AF25" i="24"/>
  <c r="AK25" i="24"/>
  <c r="AP25" i="24"/>
  <c r="AU25" i="24"/>
  <c r="AZ25" i="24"/>
  <c r="BE25" i="24"/>
  <c r="BJ25" i="24"/>
  <c r="BL25" i="24"/>
  <c r="BM25" i="24" s="1"/>
  <c r="BO25" i="24"/>
  <c r="BP25" i="24" s="1"/>
  <c r="BQ25" i="24"/>
  <c r="BS25" i="24"/>
  <c r="BT25" i="24"/>
  <c r="BU25" i="24"/>
  <c r="BV25" i="24"/>
  <c r="G26" i="24"/>
  <c r="L26" i="24"/>
  <c r="Q26" i="24"/>
  <c r="V26" i="24"/>
  <c r="AA26" i="24"/>
  <c r="AF26" i="24"/>
  <c r="AK26" i="24"/>
  <c r="AP26" i="24"/>
  <c r="AU26" i="24"/>
  <c r="AZ26" i="24"/>
  <c r="BE26" i="24"/>
  <c r="BJ26" i="24"/>
  <c r="BL26" i="24"/>
  <c r="BM26" i="24" s="1"/>
  <c r="BO26" i="24"/>
  <c r="BP26" i="24" s="1"/>
  <c r="BQ26" i="24"/>
  <c r="BS26" i="24"/>
  <c r="BT26" i="24"/>
  <c r="BU26" i="24"/>
  <c r="BV26" i="24"/>
  <c r="G27" i="24"/>
  <c r="L27" i="24"/>
  <c r="Q27" i="24"/>
  <c r="V27" i="24"/>
  <c r="AA27" i="24"/>
  <c r="AF27" i="24"/>
  <c r="AK27" i="24"/>
  <c r="AP27" i="24"/>
  <c r="AU27" i="24"/>
  <c r="AZ27" i="24"/>
  <c r="BE27" i="24"/>
  <c r="BJ27" i="24"/>
  <c r="BL27" i="24"/>
  <c r="BM27" i="24" s="1"/>
  <c r="BO27" i="24"/>
  <c r="BP27" i="24" s="1"/>
  <c r="BQ27" i="24"/>
  <c r="BS27" i="24"/>
  <c r="BT27" i="24"/>
  <c r="BU27" i="24"/>
  <c r="BV27" i="24"/>
  <c r="G28" i="24"/>
  <c r="L28" i="24"/>
  <c r="Q28" i="24"/>
  <c r="V28" i="24"/>
  <c r="AA28" i="24"/>
  <c r="AF28" i="24"/>
  <c r="AK28" i="24"/>
  <c r="AP28" i="24"/>
  <c r="AU28" i="24"/>
  <c r="AZ28" i="24"/>
  <c r="BE28" i="24"/>
  <c r="BJ28" i="24"/>
  <c r="BL28" i="24"/>
  <c r="BM28" i="24" s="1"/>
  <c r="BO28" i="24"/>
  <c r="BP28" i="24" s="1"/>
  <c r="BQ28" i="24"/>
  <c r="BS28" i="24"/>
  <c r="BT28" i="24"/>
  <c r="BU28" i="24"/>
  <c r="BV28" i="24"/>
  <c r="G29" i="24"/>
  <c r="L29" i="24"/>
  <c r="Q29" i="24"/>
  <c r="V29" i="24"/>
  <c r="AA29" i="24"/>
  <c r="AF29" i="24"/>
  <c r="AK29" i="24"/>
  <c r="AP29" i="24"/>
  <c r="AU29" i="24"/>
  <c r="AZ29" i="24"/>
  <c r="BE29" i="24"/>
  <c r="BJ29" i="24"/>
  <c r="BL29" i="24"/>
  <c r="BM29" i="24" s="1"/>
  <c r="BO29" i="24"/>
  <c r="BP29" i="24" s="1"/>
  <c r="BQ29" i="24"/>
  <c r="BS29" i="24"/>
  <c r="BT29" i="24"/>
  <c r="BU29" i="24"/>
  <c r="BV29" i="24"/>
  <c r="G30" i="24"/>
  <c r="L30" i="24"/>
  <c r="Q30" i="24"/>
  <c r="V30" i="24"/>
  <c r="AA30" i="24"/>
  <c r="AF30" i="24"/>
  <c r="AK30" i="24"/>
  <c r="AP30" i="24"/>
  <c r="AU30" i="24"/>
  <c r="AZ30" i="24"/>
  <c r="BE30" i="24"/>
  <c r="BJ30" i="24"/>
  <c r="BL30" i="24"/>
  <c r="BM30" i="24" s="1"/>
  <c r="BO30" i="24"/>
  <c r="BP30" i="24" s="1"/>
  <c r="BQ30" i="24"/>
  <c r="BS30" i="24"/>
  <c r="BT30" i="24"/>
  <c r="BU30" i="24"/>
  <c r="BV30" i="24"/>
  <c r="G31" i="24"/>
  <c r="L31" i="24"/>
  <c r="Q31" i="24"/>
  <c r="V31" i="24"/>
  <c r="AA31" i="24"/>
  <c r="AF31" i="24"/>
  <c r="AK31" i="24"/>
  <c r="AP31" i="24"/>
  <c r="AU31" i="24"/>
  <c r="AZ31" i="24"/>
  <c r="BE31" i="24"/>
  <c r="BJ31" i="24"/>
  <c r="BK31" i="24"/>
  <c r="BL31" i="24"/>
  <c r="BN31" i="24"/>
  <c r="BO31" i="24"/>
  <c r="BQ31" i="24"/>
  <c r="BS31" i="24"/>
  <c r="BT31" i="24"/>
  <c r="BU31" i="24"/>
  <c r="BV31" i="24"/>
  <c r="G32" i="24"/>
  <c r="L32" i="24"/>
  <c r="Q32" i="24"/>
  <c r="V32" i="24"/>
  <c r="AA32" i="24"/>
  <c r="AF32" i="24"/>
  <c r="AK32" i="24"/>
  <c r="AP32" i="24"/>
  <c r="AU32" i="24"/>
  <c r="AZ32" i="24"/>
  <c r="BE32" i="24"/>
  <c r="BJ32" i="24"/>
  <c r="BK32" i="24"/>
  <c r="BL32" i="24"/>
  <c r="BN32" i="24"/>
  <c r="BO32" i="24"/>
  <c r="BQ32" i="24"/>
  <c r="BS32" i="24"/>
  <c r="BT32" i="24"/>
  <c r="BU32" i="24"/>
  <c r="BV32" i="24"/>
  <c r="G33" i="24"/>
  <c r="L33" i="24"/>
  <c r="Q33" i="24"/>
  <c r="V33" i="24"/>
  <c r="AA33" i="24"/>
  <c r="AF33" i="24"/>
  <c r="AK33" i="24"/>
  <c r="AP33" i="24"/>
  <c r="AU33" i="24"/>
  <c r="AZ33" i="24"/>
  <c r="BE33" i="24"/>
  <c r="BJ33" i="24"/>
  <c r="BK33" i="24"/>
  <c r="BL33" i="24"/>
  <c r="BN33" i="24"/>
  <c r="BO33" i="24"/>
  <c r="BQ33" i="24"/>
  <c r="BS33" i="24"/>
  <c r="BT33" i="24"/>
  <c r="BU33" i="24"/>
  <c r="BV33" i="24"/>
  <c r="G34" i="24"/>
  <c r="L34" i="24"/>
  <c r="Q34" i="24"/>
  <c r="V34" i="24"/>
  <c r="AA34" i="24"/>
  <c r="AF34" i="24"/>
  <c r="AK34" i="24"/>
  <c r="AP34" i="24"/>
  <c r="AU34" i="24"/>
  <c r="AZ34" i="24"/>
  <c r="BE34" i="24"/>
  <c r="BJ34" i="24"/>
  <c r="BK34" i="24"/>
  <c r="BL34" i="24"/>
  <c r="BN34" i="24"/>
  <c r="BO34" i="24"/>
  <c r="BQ34" i="24"/>
  <c r="BS34" i="24"/>
  <c r="BT34" i="24"/>
  <c r="BU34" i="24"/>
  <c r="BV34" i="24"/>
  <c r="G35" i="24"/>
  <c r="L35" i="24"/>
  <c r="Q35" i="24"/>
  <c r="V35" i="24"/>
  <c r="AA35" i="24"/>
  <c r="AF35" i="24"/>
  <c r="AK35" i="24"/>
  <c r="AP35" i="24"/>
  <c r="AU35" i="24"/>
  <c r="AZ35" i="24"/>
  <c r="BE35" i="24"/>
  <c r="BJ35" i="24"/>
  <c r="BK35" i="24"/>
  <c r="BL35" i="24"/>
  <c r="BN35" i="24"/>
  <c r="BO35" i="24"/>
  <c r="BQ35" i="24"/>
  <c r="BS35" i="24"/>
  <c r="BT35" i="24"/>
  <c r="BU35" i="24"/>
  <c r="BV35" i="24"/>
  <c r="G36" i="24"/>
  <c r="L36" i="24"/>
  <c r="Q36" i="24"/>
  <c r="V36" i="24"/>
  <c r="AA36" i="24"/>
  <c r="AF36" i="24"/>
  <c r="AK36" i="24"/>
  <c r="AP36" i="24"/>
  <c r="AU36" i="24"/>
  <c r="AZ36" i="24"/>
  <c r="BE36" i="24"/>
  <c r="BJ36" i="24"/>
  <c r="BK36" i="24"/>
  <c r="BL36" i="24"/>
  <c r="BN36" i="24"/>
  <c r="BO36" i="24"/>
  <c r="BQ36" i="24"/>
  <c r="BS36" i="24"/>
  <c r="BT36" i="24"/>
  <c r="BU36" i="24"/>
  <c r="BV36" i="24"/>
  <c r="G37" i="24"/>
  <c r="L37" i="24"/>
  <c r="Q37" i="24"/>
  <c r="V37" i="24"/>
  <c r="AA37" i="24"/>
  <c r="AF37" i="24"/>
  <c r="AK37" i="24"/>
  <c r="AP37" i="24"/>
  <c r="AU37" i="24"/>
  <c r="AZ37" i="24"/>
  <c r="BE37" i="24"/>
  <c r="BJ37" i="24"/>
  <c r="BK37" i="24"/>
  <c r="BL37" i="24"/>
  <c r="BN37" i="24"/>
  <c r="BO37" i="24"/>
  <c r="BQ37" i="24"/>
  <c r="BS37" i="24"/>
  <c r="BT37" i="24"/>
  <c r="BU37" i="24"/>
  <c r="BV37" i="24"/>
  <c r="G38" i="24"/>
  <c r="L38" i="24"/>
  <c r="Q38" i="24"/>
  <c r="V38" i="24"/>
  <c r="AA38" i="24"/>
  <c r="AF38" i="24"/>
  <c r="AK38" i="24"/>
  <c r="AP38" i="24"/>
  <c r="AU38" i="24"/>
  <c r="AZ38" i="24"/>
  <c r="BE38" i="24"/>
  <c r="BJ38" i="24"/>
  <c r="BK38" i="24"/>
  <c r="BL38" i="24"/>
  <c r="BN38" i="24"/>
  <c r="BO38" i="24"/>
  <c r="BQ38" i="24"/>
  <c r="BS38" i="24"/>
  <c r="BT38" i="24"/>
  <c r="BU38" i="24"/>
  <c r="BV38" i="24"/>
  <c r="G39" i="24"/>
  <c r="L39" i="24"/>
  <c r="Q39" i="24"/>
  <c r="V39" i="24"/>
  <c r="AA39" i="24"/>
  <c r="AF39" i="24"/>
  <c r="AK39" i="24"/>
  <c r="AP39" i="24"/>
  <c r="AU39" i="24"/>
  <c r="AZ39" i="24"/>
  <c r="BE39" i="24"/>
  <c r="BJ39" i="24"/>
  <c r="BK39" i="24"/>
  <c r="BL39" i="24"/>
  <c r="BN39" i="24"/>
  <c r="BO39" i="24"/>
  <c r="BQ39" i="24"/>
  <c r="BS39" i="24"/>
  <c r="BT39" i="24"/>
  <c r="BU39" i="24"/>
  <c r="BV39" i="24"/>
  <c r="G40" i="24"/>
  <c r="L40" i="24"/>
  <c r="Q40" i="24"/>
  <c r="V40" i="24"/>
  <c r="AA40" i="24"/>
  <c r="AF40" i="24"/>
  <c r="AK40" i="24"/>
  <c r="AP40" i="24"/>
  <c r="AU40" i="24"/>
  <c r="AZ40" i="24"/>
  <c r="BE40" i="24"/>
  <c r="BJ40" i="24"/>
  <c r="BK40" i="24"/>
  <c r="BL40" i="24"/>
  <c r="BN40" i="24"/>
  <c r="BO40" i="24"/>
  <c r="BQ40" i="24"/>
  <c r="BS40" i="24"/>
  <c r="BT40" i="24"/>
  <c r="BU40" i="24"/>
  <c r="BV40" i="24"/>
  <c r="G41" i="24"/>
  <c r="L41" i="24"/>
  <c r="Q41" i="24"/>
  <c r="V41" i="24"/>
  <c r="AA41" i="24"/>
  <c r="AF41" i="24"/>
  <c r="AK41" i="24"/>
  <c r="AP41" i="24"/>
  <c r="AU41" i="24"/>
  <c r="AZ41" i="24"/>
  <c r="BE41" i="24"/>
  <c r="BJ41" i="24"/>
  <c r="BL41" i="24"/>
  <c r="BM41" i="24" s="1"/>
  <c r="BO41" i="24"/>
  <c r="BP41" i="24" s="1"/>
  <c r="BQ41" i="24"/>
  <c r="BS41" i="24"/>
  <c r="BT41" i="24"/>
  <c r="BU41" i="24"/>
  <c r="BV41" i="24"/>
  <c r="G42" i="24"/>
  <c r="L42" i="24"/>
  <c r="Q42" i="24"/>
  <c r="V42" i="24"/>
  <c r="AA42" i="24"/>
  <c r="AF42" i="24"/>
  <c r="AK42" i="24"/>
  <c r="AP42" i="24"/>
  <c r="AU42" i="24"/>
  <c r="AZ42" i="24"/>
  <c r="BE42" i="24"/>
  <c r="BJ42" i="24"/>
  <c r="BL42" i="24"/>
  <c r="BM42" i="24" s="1"/>
  <c r="BO42" i="24"/>
  <c r="BP42" i="24" s="1"/>
  <c r="BQ42" i="24"/>
  <c r="BS42" i="24"/>
  <c r="BT42" i="24"/>
  <c r="BU42" i="24"/>
  <c r="BV42" i="24"/>
  <c r="G43" i="24"/>
  <c r="L43" i="24"/>
  <c r="Q43" i="24"/>
  <c r="V43" i="24"/>
  <c r="AA43" i="24"/>
  <c r="AF43" i="24"/>
  <c r="AK43" i="24"/>
  <c r="AP43" i="24"/>
  <c r="AU43" i="24"/>
  <c r="AZ43" i="24"/>
  <c r="BE43" i="24"/>
  <c r="BJ43" i="24"/>
  <c r="BL43" i="24"/>
  <c r="BM43" i="24" s="1"/>
  <c r="BO43" i="24"/>
  <c r="BP43" i="24" s="1"/>
  <c r="BQ43" i="24"/>
  <c r="BS43" i="24"/>
  <c r="BT43" i="24"/>
  <c r="BU43" i="24"/>
  <c r="BV43" i="24"/>
  <c r="G44" i="24"/>
  <c r="L44" i="24"/>
  <c r="Q44" i="24"/>
  <c r="V44" i="24"/>
  <c r="AA44" i="24"/>
  <c r="AF44" i="24"/>
  <c r="AK44" i="24"/>
  <c r="AP44" i="24"/>
  <c r="AU44" i="24"/>
  <c r="AZ44" i="24"/>
  <c r="BE44" i="24"/>
  <c r="BJ44" i="24"/>
  <c r="BL44" i="24"/>
  <c r="BM44" i="24" s="1"/>
  <c r="BO44" i="24"/>
  <c r="BP44" i="24" s="1"/>
  <c r="BQ44" i="24"/>
  <c r="BS44" i="24"/>
  <c r="BT44" i="24"/>
  <c r="BU44" i="24"/>
  <c r="BV44" i="24"/>
  <c r="G45" i="24"/>
  <c r="L45" i="24"/>
  <c r="Q45" i="24"/>
  <c r="V45" i="24"/>
  <c r="AA45" i="24"/>
  <c r="AF45" i="24"/>
  <c r="AK45" i="24"/>
  <c r="AP45" i="24"/>
  <c r="AU45" i="24"/>
  <c r="AZ45" i="24"/>
  <c r="BE45" i="24"/>
  <c r="BJ45" i="24"/>
  <c r="BL45" i="24"/>
  <c r="BM45" i="24" s="1"/>
  <c r="BO45" i="24"/>
  <c r="BP45" i="24" s="1"/>
  <c r="BQ45" i="24"/>
  <c r="BS45" i="24"/>
  <c r="BT45" i="24"/>
  <c r="BU45" i="24"/>
  <c r="BV45" i="24"/>
  <c r="AU46" i="24"/>
  <c r="AZ46" i="24"/>
  <c r="BE46" i="24"/>
  <c r="BJ46" i="24"/>
  <c r="BL46" i="24"/>
  <c r="BM46" i="24" s="1"/>
  <c r="BO46" i="24"/>
  <c r="BP46" i="24" s="1"/>
  <c r="BQ46" i="24"/>
  <c r="BS46" i="24"/>
  <c r="BT46" i="24"/>
  <c r="BU46" i="24"/>
  <c r="BV46" i="24"/>
  <c r="AU47" i="24"/>
  <c r="AZ47" i="24"/>
  <c r="BE47" i="24"/>
  <c r="BJ47" i="24"/>
  <c r="BL47" i="24"/>
  <c r="BM47" i="24" s="1"/>
  <c r="BO47" i="24"/>
  <c r="BP47" i="24" s="1"/>
  <c r="BQ47" i="24"/>
  <c r="BS47" i="24"/>
  <c r="BT47" i="24"/>
  <c r="BU47" i="24"/>
  <c r="BV47" i="24"/>
  <c r="AU48" i="24"/>
  <c r="F40" i="22" s="1"/>
  <c r="AZ48" i="24"/>
  <c r="BE48" i="24"/>
  <c r="BJ48" i="24"/>
  <c r="BL48" i="24"/>
  <c r="BM48" i="24" s="1"/>
  <c r="BO48" i="24"/>
  <c r="BP48" i="24" s="1"/>
  <c r="BQ48" i="24"/>
  <c r="BS48" i="24"/>
  <c r="BT48" i="24"/>
  <c r="BU48" i="24"/>
  <c r="BV48" i="24"/>
  <c r="AU49" i="24"/>
  <c r="AZ49" i="24"/>
  <c r="BE49" i="24"/>
  <c r="BJ49" i="24"/>
  <c r="BL49" i="24"/>
  <c r="BM49" i="24" s="1"/>
  <c r="BO49" i="24"/>
  <c r="BP49" i="24" s="1"/>
  <c r="BQ49" i="24"/>
  <c r="BS49" i="24"/>
  <c r="BT49" i="24"/>
  <c r="BU49" i="24"/>
  <c r="BV49" i="24"/>
  <c r="BP39" i="24" l="1"/>
  <c r="BP36" i="24"/>
  <c r="BM37" i="24"/>
  <c r="BP40" i="24"/>
  <c r="F37" i="25"/>
  <c r="F36" i="25"/>
  <c r="BM39" i="24"/>
  <c r="BP37" i="24"/>
  <c r="BM33" i="24"/>
  <c r="C34" i="22"/>
  <c r="F38" i="22"/>
  <c r="F37" i="22"/>
  <c r="BP38" i="24"/>
  <c r="BP32" i="24"/>
  <c r="BP31" i="24"/>
  <c r="BM36" i="24"/>
  <c r="BM38" i="24"/>
  <c r="BP34" i="24"/>
  <c r="BM32" i="24"/>
  <c r="BM40" i="24"/>
  <c r="BM35" i="24"/>
  <c r="BP33" i="24"/>
  <c r="BP35" i="24"/>
  <c r="BM34" i="24"/>
  <c r="BM31" i="24"/>
  <c r="H2" i="22" l="1"/>
  <c r="AQ21" i="13" l="1"/>
  <c r="AO21" i="13"/>
  <c r="AR20" i="13"/>
  <c r="AO20" i="13"/>
  <c r="AH21" i="13"/>
  <c r="AG21" i="13"/>
  <c r="AF21" i="13"/>
  <c r="AH20" i="13"/>
  <c r="AG20" i="13"/>
  <c r="AF20" i="13"/>
  <c r="AE21" i="13"/>
  <c r="AE20" i="13"/>
  <c r="AO22" i="13" l="1"/>
  <c r="AG22" i="13"/>
  <c r="AE22" i="13"/>
  <c r="AF22" i="13"/>
  <c r="AH22" i="13"/>
  <c r="AC42" i="11"/>
  <c r="AB42" i="11"/>
  <c r="AA42" i="11"/>
  <c r="Z42" i="11"/>
  <c r="AT21" i="11"/>
  <c r="AT27" i="11"/>
  <c r="AT26" i="11"/>
  <c r="G8" i="16" l="1"/>
  <c r="H8" i="16"/>
  <c r="I8" i="16"/>
  <c r="J8" i="16"/>
  <c r="K8" i="16"/>
  <c r="M8" i="16"/>
  <c r="N8" i="16"/>
  <c r="O8" i="16"/>
  <c r="P8" i="16"/>
  <c r="W8" i="16"/>
  <c r="Y8" i="16"/>
  <c r="AB8" i="16"/>
  <c r="AC8" i="16"/>
  <c r="AF8" i="16"/>
  <c r="AG8" i="16"/>
  <c r="AH8" i="16"/>
  <c r="AK8" i="16"/>
  <c r="AL8" i="16"/>
  <c r="AM8" i="16"/>
  <c r="AP8" i="16"/>
  <c r="AR8" i="16"/>
  <c r="Z8" i="16" l="1"/>
  <c r="P56" i="18" l="1"/>
  <c r="Z56" i="18"/>
  <c r="X56" i="18"/>
  <c r="G7" i="5"/>
  <c r="X8" i="16"/>
  <c r="Q21" i="18"/>
  <c r="K7" i="5" l="1"/>
  <c r="J7" i="5"/>
  <c r="R21" i="18"/>
  <c r="R8" i="16" s="1"/>
  <c r="Q8" i="16"/>
  <c r="T21" i="18"/>
  <c r="T8" i="16" s="1"/>
  <c r="S21" i="18"/>
  <c r="U21" i="18" l="1"/>
  <c r="S8" i="16"/>
  <c r="V8" i="16" l="1"/>
  <c r="U8" i="16"/>
  <c r="AD21" i="18"/>
  <c r="AA8" i="16"/>
  <c r="AI21" i="18" l="1"/>
  <c r="AE8" i="16"/>
  <c r="D127" i="20"/>
  <c r="AD8" i="16"/>
  <c r="AY8" i="16" s="1"/>
  <c r="AN21" i="18" l="1"/>
  <c r="D125" i="20"/>
  <c r="G72" i="27" s="1"/>
  <c r="G74" i="27"/>
  <c r="AQ8" i="16"/>
  <c r="H17" i="5"/>
  <c r="AJ8" i="16"/>
  <c r="AI8" i="16"/>
  <c r="AX29" i="12"/>
  <c r="BD21" i="18" l="1"/>
  <c r="AS21" i="18"/>
  <c r="AU21" i="18" s="1"/>
  <c r="AO8" i="16"/>
  <c r="AN8" i="16"/>
  <c r="BE21" i="18" l="1"/>
  <c r="R17" i="5"/>
  <c r="L17" i="5"/>
  <c r="AT8" i="16"/>
  <c r="AS8" i="16"/>
  <c r="C120" i="20" l="1"/>
  <c r="G67" i="27" s="1"/>
  <c r="M17" i="5"/>
  <c r="AU8" i="16"/>
  <c r="AR29" i="12"/>
  <c r="AQ29" i="12"/>
  <c r="AP29" i="12"/>
  <c r="AM29" i="12"/>
  <c r="AL29" i="12"/>
  <c r="AK29" i="12"/>
  <c r="AH29" i="12"/>
  <c r="AG29" i="12"/>
  <c r="AF29" i="12"/>
  <c r="AB29" i="12"/>
  <c r="Y29" i="12"/>
  <c r="W29" i="12"/>
  <c r="O29" i="12"/>
  <c r="N29" i="12"/>
  <c r="M29" i="12"/>
  <c r="K29" i="12"/>
  <c r="J29" i="12"/>
  <c r="I29" i="12"/>
  <c r="H29" i="12"/>
  <c r="G29" i="12"/>
  <c r="D128" i="20" l="1"/>
  <c r="G75" i="27" s="1"/>
  <c r="Q22" i="18"/>
  <c r="S17" i="5" l="1"/>
  <c r="X17" i="5" s="1"/>
  <c r="Z17" i="5" s="1"/>
  <c r="R22" i="18"/>
  <c r="T22" i="18"/>
  <c r="S22" i="18"/>
  <c r="AA17" i="5" l="1"/>
  <c r="U22" i="18"/>
  <c r="H7" i="5" l="1"/>
  <c r="L7" i="5" l="1"/>
  <c r="AD22" i="18"/>
  <c r="M7" i="5" l="1"/>
  <c r="AI22" i="18"/>
  <c r="AR22" i="18" s="1"/>
  <c r="R7" i="5" l="1"/>
  <c r="BD22" i="18" l="1"/>
  <c r="S7" i="5"/>
  <c r="V7" i="5"/>
  <c r="D18" i="20"/>
  <c r="AS22" i="18"/>
  <c r="AU22" i="18" s="1"/>
  <c r="W7" i="5"/>
  <c r="X7" i="5" l="1"/>
  <c r="Z7" i="5" s="1"/>
  <c r="BE22" i="18"/>
  <c r="AA7" i="5" l="1"/>
  <c r="Y42" i="11" l="1"/>
  <c r="X42" i="11"/>
  <c r="W42" i="11"/>
  <c r="H93" i="20" l="1"/>
  <c r="H95" i="20"/>
  <c r="Q43" i="18" l="1"/>
  <c r="H88" i="20" l="1"/>
  <c r="R43" i="18"/>
  <c r="S43" i="18"/>
  <c r="T43" i="18"/>
  <c r="C100" i="20" l="1"/>
  <c r="U43" i="18"/>
  <c r="AD43" i="18" l="1"/>
  <c r="AI43" i="18" s="1"/>
  <c r="AE38" i="12" l="1"/>
  <c r="AN43" i="18" l="1"/>
  <c r="AX7" i="16"/>
  <c r="AX6" i="16"/>
  <c r="AX54" i="12"/>
  <c r="AX37" i="12"/>
  <c r="AX46" i="12"/>
  <c r="AX51" i="12"/>
  <c r="AX47" i="12"/>
  <c r="AX8" i="12"/>
  <c r="AX35" i="12"/>
  <c r="AX27" i="12"/>
  <c r="AX38" i="12"/>
  <c r="AX25" i="12"/>
  <c r="AX36" i="12"/>
  <c r="AX10" i="12"/>
  <c r="AX18" i="12"/>
  <c r="AX26" i="12"/>
  <c r="AX9" i="12"/>
  <c r="BD43" i="18" l="1"/>
  <c r="AS43" i="18"/>
  <c r="V42" i="11"/>
  <c r="AU43" i="18" l="1"/>
  <c r="AV43" i="18" s="1"/>
  <c r="Q24" i="18"/>
  <c r="Q23" i="18"/>
  <c r="Q7" i="12" s="1"/>
  <c r="BE43" i="18" l="1"/>
  <c r="T24" i="18"/>
  <c r="S23" i="18"/>
  <c r="R24" i="18"/>
  <c r="R23" i="18"/>
  <c r="R7" i="12" s="1"/>
  <c r="S24" i="18"/>
  <c r="T23" i="18"/>
  <c r="T7" i="12" s="1"/>
  <c r="S7" i="12" l="1"/>
  <c r="U24" i="18"/>
  <c r="U23" i="18"/>
  <c r="V6" i="12" l="1"/>
  <c r="U7" i="12"/>
  <c r="V7" i="12"/>
  <c r="AR37" i="12"/>
  <c r="AQ37" i="12"/>
  <c r="AP37" i="12"/>
  <c r="AM37" i="12"/>
  <c r="AL37" i="12"/>
  <c r="AK37" i="12"/>
  <c r="AH37" i="12"/>
  <c r="AG37" i="12"/>
  <c r="AF37" i="12"/>
  <c r="AB37" i="12"/>
  <c r="Y37" i="12"/>
  <c r="W37" i="12"/>
  <c r="P37" i="12"/>
  <c r="O37" i="12"/>
  <c r="N37" i="12"/>
  <c r="M37" i="12"/>
  <c r="K37" i="12"/>
  <c r="J37" i="12"/>
  <c r="I37" i="12"/>
  <c r="H37" i="12"/>
  <c r="G37" i="12"/>
  <c r="AQ46" i="12"/>
  <c r="AP46" i="12"/>
  <c r="AP52" i="12" s="1"/>
  <c r="AM46" i="12"/>
  <c r="AM52" i="12" s="1"/>
  <c r="AK46" i="12"/>
  <c r="AK52" i="12" s="1"/>
  <c r="AH46" i="12"/>
  <c r="AG46" i="12"/>
  <c r="AF46" i="12"/>
  <c r="AB46" i="12"/>
  <c r="Y46" i="12"/>
  <c r="W46" i="12"/>
  <c r="V46" i="12"/>
  <c r="O46" i="12"/>
  <c r="N46" i="12"/>
  <c r="M46" i="12"/>
  <c r="K46" i="12"/>
  <c r="J46" i="12"/>
  <c r="I46" i="12"/>
  <c r="H46" i="12"/>
  <c r="G46" i="12"/>
  <c r="AR35" i="12"/>
  <c r="AQ35" i="12"/>
  <c r="AP35" i="12"/>
  <c r="AM35" i="12"/>
  <c r="AL35" i="12"/>
  <c r="AK35" i="12"/>
  <c r="AH35" i="12"/>
  <c r="AG35" i="12"/>
  <c r="AF35" i="12"/>
  <c r="W35" i="12"/>
  <c r="O35" i="12"/>
  <c r="N35" i="12"/>
  <c r="M35" i="12"/>
  <c r="K35" i="12"/>
  <c r="J35" i="12"/>
  <c r="I35" i="12"/>
  <c r="H35" i="12"/>
  <c r="G35" i="12"/>
  <c r="AR27" i="12"/>
  <c r="AQ27" i="12"/>
  <c r="AP27" i="12"/>
  <c r="AM27" i="12"/>
  <c r="AL27" i="12"/>
  <c r="AK27" i="12"/>
  <c r="AH27" i="12"/>
  <c r="AG27" i="12"/>
  <c r="AF27" i="12"/>
  <c r="AB27" i="12"/>
  <c r="Y27" i="12"/>
  <c r="W27" i="12"/>
  <c r="O27" i="12"/>
  <c r="N27" i="12"/>
  <c r="M27" i="12"/>
  <c r="K27" i="12"/>
  <c r="J27" i="12"/>
  <c r="I27" i="12"/>
  <c r="H27" i="12"/>
  <c r="G27" i="12"/>
  <c r="AT38" i="12"/>
  <c r="AR38" i="12"/>
  <c r="AQ38" i="12"/>
  <c r="AP38" i="12"/>
  <c r="AO38" i="12"/>
  <c r="AM38" i="12"/>
  <c r="AL38" i="12"/>
  <c r="AK38" i="12"/>
  <c r="AJ38" i="12"/>
  <c r="AH38" i="12"/>
  <c r="AG38" i="12"/>
  <c r="AF38" i="12"/>
  <c r="AB38" i="12"/>
  <c r="Y38" i="12"/>
  <c r="W38" i="12"/>
  <c r="V38" i="12"/>
  <c r="P38" i="12"/>
  <c r="O38" i="12"/>
  <c r="N38" i="12"/>
  <c r="M38" i="12"/>
  <c r="K38" i="12"/>
  <c r="J38" i="12"/>
  <c r="I38" i="12"/>
  <c r="H38" i="12"/>
  <c r="G38" i="12"/>
  <c r="AR25" i="12"/>
  <c r="AQ25" i="12"/>
  <c r="AP25" i="12"/>
  <c r="AM25" i="12"/>
  <c r="AL25" i="12"/>
  <c r="AK25" i="12"/>
  <c r="AH25" i="12"/>
  <c r="AG25" i="12"/>
  <c r="AF25" i="12"/>
  <c r="AB25" i="12"/>
  <c r="Y25" i="12"/>
  <c r="P25" i="12"/>
  <c r="O25" i="12"/>
  <c r="N25" i="12"/>
  <c r="M25" i="12"/>
  <c r="K25" i="12"/>
  <c r="J25" i="12"/>
  <c r="I25" i="12"/>
  <c r="H25" i="12"/>
  <c r="G25" i="12"/>
  <c r="AR36" i="12"/>
  <c r="AQ36" i="12"/>
  <c r="AP36" i="12"/>
  <c r="AM36" i="12"/>
  <c r="AK36" i="12"/>
  <c r="AH36" i="12"/>
  <c r="AG36" i="12"/>
  <c r="AF36" i="12"/>
  <c r="AB36" i="12"/>
  <c r="Y36" i="12"/>
  <c r="W36" i="12"/>
  <c r="O36" i="12"/>
  <c r="N36" i="12"/>
  <c r="M36" i="12"/>
  <c r="K36" i="12"/>
  <c r="J36" i="12"/>
  <c r="I36" i="12"/>
  <c r="H36" i="12"/>
  <c r="G36" i="12"/>
  <c r="AQ10" i="12"/>
  <c r="AP10" i="12"/>
  <c r="AM10" i="12"/>
  <c r="AK10" i="12"/>
  <c r="AH10" i="12"/>
  <c r="AG10" i="12"/>
  <c r="AF10" i="12"/>
  <c r="AB10" i="12"/>
  <c r="Y10" i="12"/>
  <c r="W10" i="12"/>
  <c r="P10" i="12"/>
  <c r="O10" i="12"/>
  <c r="N10" i="12"/>
  <c r="M10" i="12"/>
  <c r="K10" i="12"/>
  <c r="J10" i="12"/>
  <c r="I10" i="12"/>
  <c r="H10" i="12"/>
  <c r="G10" i="12"/>
  <c r="AT18" i="12"/>
  <c r="AT20" i="12" s="1"/>
  <c r="AP18" i="12"/>
  <c r="AP20" i="12" s="1"/>
  <c r="AO18" i="12"/>
  <c r="AO20" i="12" s="1"/>
  <c r="AN18" i="12"/>
  <c r="AN20" i="12" s="1"/>
  <c r="AM18" i="12"/>
  <c r="AM20" i="12" s="1"/>
  <c r="AK18" i="12"/>
  <c r="AK20" i="12" s="1"/>
  <c r="AJ18" i="12"/>
  <c r="AJ20" i="12" s="1"/>
  <c r="AH18" i="12"/>
  <c r="AH20" i="12" s="1"/>
  <c r="AG18" i="12"/>
  <c r="AG20" i="12" s="1"/>
  <c r="AF18" i="12"/>
  <c r="AF20" i="12" s="1"/>
  <c r="AE18" i="12"/>
  <c r="AE20" i="12" s="1"/>
  <c r="AB18" i="12"/>
  <c r="AB20" i="12" s="1"/>
  <c r="Y18" i="12"/>
  <c r="W18" i="12"/>
  <c r="V18" i="12"/>
  <c r="P18" i="12"/>
  <c r="P20" i="12" s="1"/>
  <c r="O18" i="12"/>
  <c r="N18" i="12"/>
  <c r="M18" i="12"/>
  <c r="K18" i="12"/>
  <c r="J18" i="12"/>
  <c r="I18" i="12"/>
  <c r="H18" i="12"/>
  <c r="G18" i="12"/>
  <c r="AT9" i="12"/>
  <c r="AP9" i="12"/>
  <c r="AO9" i="12"/>
  <c r="AM9" i="12"/>
  <c r="AK9" i="12"/>
  <c r="AJ9" i="12"/>
  <c r="AH9" i="12"/>
  <c r="AG9" i="12"/>
  <c r="AF9" i="12"/>
  <c r="AE9" i="12"/>
  <c r="AB9" i="12"/>
  <c r="Y9" i="12"/>
  <c r="W9" i="12"/>
  <c r="V9" i="12"/>
  <c r="P9" i="12"/>
  <c r="O9" i="12"/>
  <c r="J9" i="12"/>
  <c r="I9" i="12"/>
  <c r="H9" i="12"/>
  <c r="G9" i="12"/>
  <c r="AR26" i="12"/>
  <c r="AP26" i="12"/>
  <c r="AM26" i="12"/>
  <c r="AK26" i="12"/>
  <c r="AH26" i="12"/>
  <c r="AG26" i="12"/>
  <c r="AF26" i="12"/>
  <c r="AB26" i="12"/>
  <c r="Y26" i="12"/>
  <c r="W26" i="12"/>
  <c r="O26" i="12"/>
  <c r="N26" i="12"/>
  <c r="M26" i="12"/>
  <c r="K26" i="12"/>
  <c r="J26" i="12"/>
  <c r="I26" i="12"/>
  <c r="H26" i="12"/>
  <c r="G26" i="12"/>
  <c r="AT11" i="16"/>
  <c r="AP11" i="16"/>
  <c r="AO11" i="16"/>
  <c r="AN11" i="16"/>
  <c r="AM11" i="16"/>
  <c r="AL11" i="16"/>
  <c r="AK11" i="16"/>
  <c r="AJ11" i="16"/>
  <c r="AH11" i="16"/>
  <c r="AG11" i="16"/>
  <c r="AF11" i="16"/>
  <c r="AE11" i="16"/>
  <c r="AB11" i="16"/>
  <c r="Z11" i="16"/>
  <c r="Y11" i="16"/>
  <c r="X11" i="16"/>
  <c r="W11" i="16"/>
  <c r="V11" i="16"/>
  <c r="O11" i="16"/>
  <c r="N11" i="16"/>
  <c r="M11" i="16"/>
  <c r="K11" i="16"/>
  <c r="J11" i="16"/>
  <c r="I11" i="16"/>
  <c r="H11" i="16"/>
  <c r="G11" i="16"/>
  <c r="AL33" i="12" l="1"/>
  <c r="AH33" i="12"/>
  <c r="AP33" i="12"/>
  <c r="AK33" i="12"/>
  <c r="AF33" i="12"/>
  <c r="AR33" i="12"/>
  <c r="AG33" i="12"/>
  <c r="AM33" i="12"/>
  <c r="AR40" i="12"/>
  <c r="AQ40" i="12"/>
  <c r="AP40" i="12"/>
  <c r="AG40" i="12"/>
  <c r="AH40" i="12"/>
  <c r="AF40" i="12"/>
  <c r="AC7" i="12"/>
  <c r="P11" i="16"/>
  <c r="AD23" i="18" l="1"/>
  <c r="AI23" i="18" s="1"/>
  <c r="AD24" i="18"/>
  <c r="AI24" i="18" l="1"/>
  <c r="AE6" i="12"/>
  <c r="AD7" i="12"/>
  <c r="AY7" i="12" s="1"/>
  <c r="AE7" i="12"/>
  <c r="AI7" i="12" l="1"/>
  <c r="AN23" i="18"/>
  <c r="AJ7" i="12"/>
  <c r="AJ6" i="12"/>
  <c r="AN24" i="18"/>
  <c r="R11" i="16"/>
  <c r="Q11" i="16"/>
  <c r="BD23" i="18" l="1"/>
  <c r="BD24" i="18"/>
  <c r="AS23" i="18"/>
  <c r="AS24" i="18"/>
  <c r="AO6" i="12"/>
  <c r="AN7" i="12"/>
  <c r="AO7" i="12"/>
  <c r="AN6" i="12"/>
  <c r="AR7" i="12"/>
  <c r="T11" i="16"/>
  <c r="S11" i="16"/>
  <c r="AU24" i="18" l="1"/>
  <c r="AU23" i="18"/>
  <c r="AS6" i="12"/>
  <c r="AT6" i="12"/>
  <c r="AS7" i="12"/>
  <c r="AT7" i="12"/>
  <c r="U11" i="16"/>
  <c r="BE23" i="18" l="1"/>
  <c r="BE24" i="18"/>
  <c r="AU7" i="12"/>
  <c r="AU6" i="12"/>
  <c r="AA11" i="16"/>
  <c r="AC11" i="16"/>
  <c r="AD11" i="16"/>
  <c r="AY12" i="16" l="1"/>
  <c r="AY11" i="16"/>
  <c r="AI11" i="16"/>
  <c r="AR11" i="16" l="1"/>
  <c r="AQ11" i="16"/>
  <c r="AS11" i="16" l="1"/>
  <c r="AU11" i="16" l="1"/>
  <c r="AL4" i="18" l="1"/>
  <c r="AK4" i="18"/>
  <c r="AJ4" i="18"/>
  <c r="C44" i="22"/>
  <c r="C13" i="22"/>
  <c r="C16" i="22" s="1"/>
  <c r="C15" i="22" l="1"/>
  <c r="C14" i="22"/>
  <c r="Z37" i="12" l="1"/>
  <c r="C22" i="22"/>
  <c r="AR7" i="16" l="1"/>
  <c r="AQ7" i="16"/>
  <c r="AP7" i="16"/>
  <c r="AM7" i="16"/>
  <c r="AL7" i="16"/>
  <c r="AK7" i="16"/>
  <c r="AH7" i="16"/>
  <c r="AG7" i="16"/>
  <c r="AF7" i="16"/>
  <c r="AB7" i="16"/>
  <c r="Y7" i="16"/>
  <c r="W7" i="16"/>
  <c r="P7" i="16"/>
  <c r="O7" i="16"/>
  <c r="N7" i="16"/>
  <c r="M7" i="16"/>
  <c r="K7" i="16"/>
  <c r="J7" i="16"/>
  <c r="I7" i="16"/>
  <c r="H7" i="16"/>
  <c r="AR6" i="16"/>
  <c r="AQ6" i="16"/>
  <c r="AP6" i="16"/>
  <c r="AM6" i="16"/>
  <c r="AL6" i="16"/>
  <c r="AK6" i="16"/>
  <c r="AH6" i="16"/>
  <c r="AG6" i="16"/>
  <c r="AG17" i="16" s="1"/>
  <c r="AF6" i="16"/>
  <c r="AB6" i="16"/>
  <c r="Y6" i="16"/>
  <c r="W6" i="16"/>
  <c r="P6" i="16"/>
  <c r="O6" i="16"/>
  <c r="N6" i="16"/>
  <c r="M6" i="16"/>
  <c r="K6" i="16"/>
  <c r="J6" i="16"/>
  <c r="I6" i="16"/>
  <c r="H6" i="16"/>
  <c r="G7" i="16"/>
  <c r="G6" i="16"/>
  <c r="AH51" i="12"/>
  <c r="AG51" i="12"/>
  <c r="AF51" i="12"/>
  <c r="AB51" i="12"/>
  <c r="Y51" i="12"/>
  <c r="W51" i="12"/>
  <c r="P51" i="12"/>
  <c r="O51" i="12"/>
  <c r="N51" i="12"/>
  <c r="M51" i="12"/>
  <c r="K51" i="12"/>
  <c r="J51" i="12"/>
  <c r="I51" i="12"/>
  <c r="H51" i="12"/>
  <c r="AH47" i="12"/>
  <c r="AG47" i="12"/>
  <c r="AF47" i="12"/>
  <c r="AB47" i="12"/>
  <c r="W47" i="12"/>
  <c r="P47" i="12"/>
  <c r="O47" i="12"/>
  <c r="N47" i="12"/>
  <c r="M47" i="12"/>
  <c r="K47" i="12"/>
  <c r="J47" i="12"/>
  <c r="I47" i="12"/>
  <c r="H47" i="12"/>
  <c r="AP8" i="12"/>
  <c r="AP14" i="12" s="1"/>
  <c r="AO8" i="12"/>
  <c r="AN8" i="12"/>
  <c r="AM8" i="12"/>
  <c r="AM14" i="12" s="1"/>
  <c r="AL8" i="12"/>
  <c r="AL14" i="12" s="1"/>
  <c r="AK8" i="12"/>
  <c r="AK14" i="12" s="1"/>
  <c r="AH8" i="12"/>
  <c r="AH14" i="12" s="1"/>
  <c r="AG8" i="12"/>
  <c r="AG14" i="12" s="1"/>
  <c r="AF8" i="12"/>
  <c r="AF14" i="12" s="1"/>
  <c r="AB8" i="12"/>
  <c r="AB14" i="12" s="1"/>
  <c r="Y8" i="12"/>
  <c r="W8" i="12"/>
  <c r="P8" i="12"/>
  <c r="P14" i="12" s="1"/>
  <c r="O8" i="12"/>
  <c r="N8" i="12"/>
  <c r="M8" i="12"/>
  <c r="K8" i="12"/>
  <c r="J8" i="12"/>
  <c r="I8" i="12"/>
  <c r="H8" i="12"/>
  <c r="G51" i="12"/>
  <c r="G47" i="12"/>
  <c r="G8" i="12"/>
  <c r="AQ16" i="13"/>
  <c r="AP16" i="13"/>
  <c r="AM16" i="13"/>
  <c r="AL16" i="13"/>
  <c r="AK16" i="13"/>
  <c r="AH16" i="13"/>
  <c r="AG16" i="13"/>
  <c r="AF16" i="13"/>
  <c r="T42" i="11"/>
  <c r="W17" i="16" l="1"/>
  <c r="U62" i="5"/>
  <c r="V62" i="5"/>
  <c r="D62" i="5"/>
  <c r="Q62" i="5"/>
  <c r="W62" i="5"/>
  <c r="G62" i="5"/>
  <c r="P62" i="5"/>
  <c r="O63" i="5"/>
  <c r="V63" i="5"/>
  <c r="P63" i="5"/>
  <c r="U63" i="5"/>
  <c r="Q63" i="5"/>
  <c r="O62" i="5"/>
  <c r="W63" i="5"/>
  <c r="D63" i="5"/>
  <c r="P17" i="16"/>
  <c r="AH17" i="16"/>
  <c r="Y17" i="16"/>
  <c r="AP17" i="16"/>
  <c r="AF17" i="16"/>
  <c r="AF52" i="12"/>
  <c r="AG52" i="12"/>
  <c r="AH52" i="12"/>
  <c r="AB17" i="16"/>
  <c r="AQ17" i="16"/>
  <c r="AR17" i="16"/>
  <c r="AD44" i="18"/>
  <c r="AR11" i="13"/>
  <c r="AG11" i="13"/>
  <c r="AF11" i="13"/>
  <c r="AH11" i="13"/>
  <c r="AI44" i="18" l="1"/>
  <c r="AE46" i="12"/>
  <c r="AN44" i="18" l="1"/>
  <c r="AJ46" i="12"/>
  <c r="Z9" i="12"/>
  <c r="X9" i="12"/>
  <c r="Z51" i="12"/>
  <c r="Z47" i="12"/>
  <c r="BD44" i="18" l="1"/>
  <c r="AS44" i="18"/>
  <c r="AO46" i="12"/>
  <c r="AN46" i="12"/>
  <c r="P20" i="13"/>
  <c r="P21" i="13"/>
  <c r="P29" i="12"/>
  <c r="X10" i="12"/>
  <c r="Z18" i="12"/>
  <c r="Z20" i="12" s="1"/>
  <c r="X18" i="12"/>
  <c r="X20" i="12" s="1"/>
  <c r="Z10" i="12"/>
  <c r="Z7" i="16"/>
  <c r="X7" i="16"/>
  <c r="X6" i="16"/>
  <c r="Z6" i="16"/>
  <c r="P27" i="12"/>
  <c r="P16" i="13"/>
  <c r="AB56" i="5"/>
  <c r="AB36" i="5"/>
  <c r="AB25" i="5"/>
  <c r="AU44" i="18" l="1"/>
  <c r="AV44" i="18" s="1"/>
  <c r="X17" i="16"/>
  <c r="Z17" i="16"/>
  <c r="AT46" i="12"/>
  <c r="Z20" i="13"/>
  <c r="Z21" i="13"/>
  <c r="P22" i="13"/>
  <c r="P11" i="13"/>
  <c r="Z16" i="13"/>
  <c r="Z11" i="13"/>
  <c r="BE44" i="18" l="1"/>
  <c r="Z22" i="13"/>
  <c r="AX11" i="13"/>
  <c r="Q34" i="18"/>
  <c r="X51" i="12"/>
  <c r="AP20" i="13" l="1"/>
  <c r="AP11" i="13"/>
  <c r="Q51" i="12"/>
  <c r="R34" i="18"/>
  <c r="R51" i="12" s="1"/>
  <c r="T34" i="18"/>
  <c r="S34" i="18"/>
  <c r="S51" i="12" s="1"/>
  <c r="U34" i="18" l="1"/>
  <c r="V51" i="12" s="1"/>
  <c r="AQ20" i="13"/>
  <c r="AQ22" i="13" s="1"/>
  <c r="T51" i="12"/>
  <c r="AQ11" i="13"/>
  <c r="U51" i="12" l="1"/>
  <c r="AA51" i="12"/>
  <c r="AC51" i="12" l="1"/>
  <c r="AD34" i="18"/>
  <c r="AI34" i="18" s="1"/>
  <c r="AN34" i="18" l="1"/>
  <c r="AE51" i="12"/>
  <c r="AD51" i="12"/>
  <c r="AY51" i="12" s="1"/>
  <c r="BD34" i="18" l="1"/>
  <c r="AS34" i="18"/>
  <c r="AJ51" i="12"/>
  <c r="AI51" i="12"/>
  <c r="T4" i="18"/>
  <c r="S4" i="18"/>
  <c r="R4" i="18"/>
  <c r="Q4" i="18"/>
  <c r="AU34" i="18" l="1"/>
  <c r="BE34" i="18" s="1"/>
  <c r="AO51" i="12"/>
  <c r="AN51" i="12"/>
  <c r="S15" i="11"/>
  <c r="AS15" i="11" s="1"/>
  <c r="AV34" i="18" l="1"/>
  <c r="AS51" i="12"/>
  <c r="AT51" i="12"/>
  <c r="X47" i="12"/>
  <c r="X37" i="12"/>
  <c r="AU51" i="12" l="1"/>
  <c r="X11" i="13"/>
  <c r="X29" i="12"/>
  <c r="X38" i="12"/>
  <c r="J62" i="5" s="1"/>
  <c r="P36" i="12" l="1"/>
  <c r="AT20" i="11"/>
  <c r="U42" i="11"/>
  <c r="S42" i="11"/>
  <c r="R42" i="11"/>
  <c r="Q42" i="11"/>
  <c r="P42" i="11"/>
  <c r="O42" i="11"/>
  <c r="N42" i="11"/>
  <c r="L42" i="11"/>
  <c r="K42" i="11"/>
  <c r="J42" i="11"/>
  <c r="I42" i="11"/>
  <c r="H42" i="11"/>
  <c r="G42" i="11"/>
  <c r="F42" i="11"/>
  <c r="E42" i="11"/>
  <c r="D42" i="11"/>
  <c r="AT25" i="11"/>
  <c r="AT18" i="11"/>
  <c r="AT24" i="11"/>
  <c r="AT19" i="11"/>
  <c r="B17" i="11"/>
  <c r="B42" i="11" s="1"/>
  <c r="AT16" i="11"/>
  <c r="AT23" i="11"/>
  <c r="AT14" i="11"/>
  <c r="AT22" i="11"/>
  <c r="AT13" i="11"/>
  <c r="AT12" i="11"/>
  <c r="AT11" i="11"/>
  <c r="M10" i="11"/>
  <c r="AS10" i="11" s="1"/>
  <c r="AT9" i="11"/>
  <c r="AT8" i="11"/>
  <c r="AT7" i="11"/>
  <c r="AT6" i="11"/>
  <c r="AT5" i="11"/>
  <c r="Q49" i="18"/>
  <c r="Q50" i="18"/>
  <c r="Q51" i="18"/>
  <c r="Q40" i="18"/>
  <c r="Q48" i="18"/>
  <c r="Q47" i="18"/>
  <c r="AS42" i="11" l="1"/>
  <c r="AB35" i="12"/>
  <c r="Q7" i="16"/>
  <c r="Q37" i="12"/>
  <c r="Q47" i="12"/>
  <c r="Q25" i="12"/>
  <c r="Z29" i="12"/>
  <c r="Q29" i="12"/>
  <c r="Q38" i="12"/>
  <c r="Z38" i="12"/>
  <c r="K62" i="5" s="1"/>
  <c r="Z25" i="12"/>
  <c r="M42" i="11"/>
  <c r="P26" i="12"/>
  <c r="P33" i="12" s="1"/>
  <c r="P46" i="12"/>
  <c r="P52" i="12" s="1"/>
  <c r="P35" i="12"/>
  <c r="G63" i="5" s="1"/>
  <c r="Q16" i="13"/>
  <c r="S47" i="18"/>
  <c r="Q6" i="16"/>
  <c r="T51" i="18"/>
  <c r="X8" i="12"/>
  <c r="X14" i="12" s="1"/>
  <c r="AT17" i="11"/>
  <c r="Q33" i="18"/>
  <c r="Q52" i="18"/>
  <c r="Q36" i="18"/>
  <c r="Q42" i="18"/>
  <c r="R16" i="13"/>
  <c r="S49" i="18"/>
  <c r="R50" i="18"/>
  <c r="S40" i="18"/>
  <c r="S48" i="18"/>
  <c r="Q45" i="18"/>
  <c r="T48" i="18"/>
  <c r="S51" i="18"/>
  <c r="R51" i="18"/>
  <c r="R25" i="12" s="1"/>
  <c r="Q37" i="18"/>
  <c r="T47" i="18"/>
  <c r="R48" i="18"/>
  <c r="S16" i="13"/>
  <c r="Q20" i="18"/>
  <c r="R40" i="18"/>
  <c r="R47" i="18"/>
  <c r="T50" i="18"/>
  <c r="S50" i="18"/>
  <c r="T40" i="18"/>
  <c r="R49" i="18"/>
  <c r="R47" i="12" s="1"/>
  <c r="T49" i="18"/>
  <c r="AT15" i="11"/>
  <c r="Q17" i="16" l="1"/>
  <c r="Q6" i="12"/>
  <c r="Q22" i="12"/>
  <c r="AT10" i="11"/>
  <c r="AT42" i="11" s="1"/>
  <c r="AT45" i="11" s="1"/>
  <c r="Y35" i="12"/>
  <c r="S25" i="12"/>
  <c r="S11" i="13"/>
  <c r="S47" i="12"/>
  <c r="T37" i="12"/>
  <c r="R37" i="12"/>
  <c r="S37" i="12"/>
  <c r="U50" i="18"/>
  <c r="AG54" i="12"/>
  <c r="AF54" i="12"/>
  <c r="AH54" i="12"/>
  <c r="G64" i="5"/>
  <c r="P40" i="12"/>
  <c r="S7" i="16"/>
  <c r="R7" i="16"/>
  <c r="Q11" i="13"/>
  <c r="U40" i="18"/>
  <c r="V29" i="12" s="1"/>
  <c r="V11" i="13"/>
  <c r="Q10" i="12"/>
  <c r="Q14" i="12" s="1"/>
  <c r="Q46" i="12"/>
  <c r="Q35" i="12"/>
  <c r="U51" i="18"/>
  <c r="Q36" i="12"/>
  <c r="Q27" i="12"/>
  <c r="U49" i="18"/>
  <c r="Z8" i="12"/>
  <c r="Z14" i="12" s="1"/>
  <c r="R11" i="13"/>
  <c r="T52" i="18"/>
  <c r="Q18" i="12"/>
  <c r="Q20" i="12" s="1"/>
  <c r="T47" i="12"/>
  <c r="T25" i="12"/>
  <c r="T7" i="16"/>
  <c r="T16" i="13"/>
  <c r="T29" i="12"/>
  <c r="R29" i="12"/>
  <c r="S29" i="12"/>
  <c r="T38" i="12"/>
  <c r="S38" i="12"/>
  <c r="R38" i="12"/>
  <c r="K51" i="5"/>
  <c r="Z27" i="12"/>
  <c r="Z36" i="12"/>
  <c r="R6" i="16"/>
  <c r="S6" i="16"/>
  <c r="T6" i="16"/>
  <c r="X26" i="12"/>
  <c r="X35" i="12"/>
  <c r="Q8" i="12"/>
  <c r="X36" i="12"/>
  <c r="T33" i="18"/>
  <c r="Q26" i="12"/>
  <c r="Z26" i="12"/>
  <c r="Z46" i="12"/>
  <c r="Z52" i="12" s="1"/>
  <c r="X27" i="12"/>
  <c r="Z35" i="12"/>
  <c r="X46" i="12"/>
  <c r="X52" i="12" s="1"/>
  <c r="I40" i="5"/>
  <c r="P40" i="5"/>
  <c r="Q40" i="5"/>
  <c r="N40" i="5"/>
  <c r="T40" i="5"/>
  <c r="O40" i="5"/>
  <c r="D40" i="5"/>
  <c r="S52" i="18"/>
  <c r="S22" i="12" s="1"/>
  <c r="S33" i="18"/>
  <c r="R33" i="18"/>
  <c r="R52" i="18"/>
  <c r="R22" i="12" s="1"/>
  <c r="S36" i="18"/>
  <c r="T36" i="18"/>
  <c r="R42" i="18"/>
  <c r="R27" i="12" s="1"/>
  <c r="R36" i="18"/>
  <c r="P18" i="13"/>
  <c r="Q51" i="5"/>
  <c r="S42" i="18"/>
  <c r="S27" i="12" s="1"/>
  <c r="N51" i="5"/>
  <c r="T42" i="18"/>
  <c r="G51" i="5"/>
  <c r="Q64" i="5"/>
  <c r="P51" i="5"/>
  <c r="T46" i="5"/>
  <c r="N46" i="5"/>
  <c r="O51" i="5"/>
  <c r="D64" i="5"/>
  <c r="U64" i="5"/>
  <c r="G59" i="5"/>
  <c r="P64" i="5"/>
  <c r="T37" i="18"/>
  <c r="P59" i="5"/>
  <c r="Q46" i="5"/>
  <c r="W64" i="5"/>
  <c r="T51" i="5"/>
  <c r="T20" i="18"/>
  <c r="S45" i="18"/>
  <c r="D59" i="5"/>
  <c r="Q59" i="5"/>
  <c r="P46" i="5"/>
  <c r="D46" i="5"/>
  <c r="O59" i="5"/>
  <c r="N59" i="5"/>
  <c r="I46" i="5"/>
  <c r="U51" i="5"/>
  <c r="D51" i="5"/>
  <c r="T59" i="5"/>
  <c r="I59" i="5"/>
  <c r="O46" i="5"/>
  <c r="O64" i="5"/>
  <c r="I51" i="5"/>
  <c r="T45" i="18"/>
  <c r="R45" i="18"/>
  <c r="R35" i="12" s="1"/>
  <c r="R20" i="18"/>
  <c r="S20" i="18"/>
  <c r="U47" i="18"/>
  <c r="U48" i="18"/>
  <c r="R37" i="18"/>
  <c r="R36" i="12" s="1"/>
  <c r="S37" i="18"/>
  <c r="S36" i="12" s="1"/>
  <c r="L54" i="5"/>
  <c r="D111" i="20" l="1"/>
  <c r="D109" i="20" s="1"/>
  <c r="G63" i="27" s="1"/>
  <c r="E3" i="29"/>
  <c r="H54" i="5"/>
  <c r="R10" i="12"/>
  <c r="R14" i="12" s="1"/>
  <c r="K63" i="5"/>
  <c r="K64" i="5" s="1"/>
  <c r="J63" i="5"/>
  <c r="J64" i="5" s="1"/>
  <c r="V6" i="16"/>
  <c r="V37" i="12"/>
  <c r="I62" i="5" s="1"/>
  <c r="D15" i="20"/>
  <c r="V7" i="16"/>
  <c r="H6" i="5"/>
  <c r="V16" i="13"/>
  <c r="H24" i="5"/>
  <c r="T18" i="12"/>
  <c r="T20" i="12" s="1"/>
  <c r="T17" i="16"/>
  <c r="U42" i="18"/>
  <c r="H43" i="5" s="1"/>
  <c r="S17" i="16"/>
  <c r="R17" i="16"/>
  <c r="V25" i="12"/>
  <c r="T6" i="12"/>
  <c r="T22" i="12"/>
  <c r="AD49" i="18"/>
  <c r="S35" i="12"/>
  <c r="V47" i="12"/>
  <c r="S10" i="12"/>
  <c r="S14" i="12" s="1"/>
  <c r="U45" i="18"/>
  <c r="S46" i="12"/>
  <c r="R46" i="12"/>
  <c r="T8" i="12"/>
  <c r="Z33" i="12"/>
  <c r="Z40" i="12"/>
  <c r="X40" i="12"/>
  <c r="X44" i="12" s="1"/>
  <c r="R6" i="12"/>
  <c r="S6" i="12"/>
  <c r="P54" i="12"/>
  <c r="P58" i="18" s="1"/>
  <c r="R26" i="12"/>
  <c r="S26" i="12"/>
  <c r="U20" i="18"/>
  <c r="B8" i="26" s="1" a="1"/>
  <c r="B8" i="26" s="1"/>
  <c r="U37" i="18"/>
  <c r="V36" i="12" s="1"/>
  <c r="U36" i="18"/>
  <c r="U33" i="18"/>
  <c r="H44" i="5" s="1"/>
  <c r="U52" i="18"/>
  <c r="T11" i="13"/>
  <c r="U21" i="13"/>
  <c r="U20" i="13"/>
  <c r="U29" i="12"/>
  <c r="R8" i="12"/>
  <c r="S8" i="12"/>
  <c r="AA37" i="12"/>
  <c r="U37" i="12"/>
  <c r="R18" i="12"/>
  <c r="R20" i="12" s="1"/>
  <c r="S18" i="12"/>
  <c r="S20" i="12" s="1"/>
  <c r="T46" i="12"/>
  <c r="T27" i="12"/>
  <c r="T36" i="12"/>
  <c r="T35" i="12"/>
  <c r="T10" i="12"/>
  <c r="T14" i="12" s="1"/>
  <c r="T26" i="12"/>
  <c r="U38" i="12"/>
  <c r="AA47" i="12"/>
  <c r="U25" i="12"/>
  <c r="U6" i="16"/>
  <c r="K59" i="5"/>
  <c r="AD2" i="12"/>
  <c r="U7" i="16"/>
  <c r="U47" i="12"/>
  <c r="U16" i="13"/>
  <c r="AA7" i="16"/>
  <c r="K40" i="5"/>
  <c r="G40" i="5"/>
  <c r="K46" i="5"/>
  <c r="G46" i="5"/>
  <c r="AA25" i="12"/>
  <c r="Q66" i="5"/>
  <c r="Q67" i="5" s="1"/>
  <c r="D66" i="5"/>
  <c r="O66" i="5"/>
  <c r="O67" i="5" s="1"/>
  <c r="P66" i="5"/>
  <c r="P67" i="5" s="1"/>
  <c r="E9" i="29" l="1"/>
  <c r="E6" i="29"/>
  <c r="G65" i="27"/>
  <c r="E4" i="29"/>
  <c r="AI49" i="18"/>
  <c r="E5" i="29"/>
  <c r="H62" i="5"/>
  <c r="V17" i="16"/>
  <c r="D13" i="20"/>
  <c r="G11" i="27"/>
  <c r="D31" i="20"/>
  <c r="H31" i="20" s="1"/>
  <c r="V35" i="12"/>
  <c r="D47" i="20"/>
  <c r="H47" i="20" s="1"/>
  <c r="M54" i="5"/>
  <c r="H35" i="5"/>
  <c r="V8" i="12"/>
  <c r="H33" i="5"/>
  <c r="U17" i="16"/>
  <c r="W25" i="12"/>
  <c r="W54" i="12" s="1"/>
  <c r="V10" i="12"/>
  <c r="U22" i="12"/>
  <c r="U23" i="12" s="1"/>
  <c r="V26" i="12"/>
  <c r="V27" i="12"/>
  <c r="U6" i="12"/>
  <c r="H125" i="20"/>
  <c r="H127" i="20"/>
  <c r="H109" i="20"/>
  <c r="H111" i="20"/>
  <c r="Z54" i="12"/>
  <c r="U22" i="13"/>
  <c r="AA36" i="12"/>
  <c r="AA26" i="12"/>
  <c r="AA27" i="12"/>
  <c r="U11" i="13"/>
  <c r="AA18" i="12"/>
  <c r="AA20" i="12" s="1"/>
  <c r="U18" i="12"/>
  <c r="U20" i="12" s="1"/>
  <c r="AA29" i="12"/>
  <c r="AA38" i="12"/>
  <c r="U46" i="12"/>
  <c r="AA46" i="12"/>
  <c r="AA6" i="16"/>
  <c r="AA17" i="16" s="1"/>
  <c r="U36" i="12"/>
  <c r="U27" i="12"/>
  <c r="U35" i="12"/>
  <c r="AA10" i="12"/>
  <c r="AA14" i="12" s="1"/>
  <c r="U10" i="12"/>
  <c r="U26" i="12"/>
  <c r="U8" i="12"/>
  <c r="K66" i="5"/>
  <c r="K67" i="5" s="1"/>
  <c r="G66" i="5"/>
  <c r="AA35" i="12"/>
  <c r="L24" i="5"/>
  <c r="Q26" i="5"/>
  <c r="P26" i="5"/>
  <c r="G26" i="5"/>
  <c r="N26" i="5"/>
  <c r="I26" i="5"/>
  <c r="O26" i="5"/>
  <c r="D26" i="5"/>
  <c r="T26" i="5"/>
  <c r="V20" i="12" l="1"/>
  <c r="V23" i="12" s="1"/>
  <c r="G9" i="27"/>
  <c r="H13" i="20"/>
  <c r="AN49" i="18"/>
  <c r="D29" i="20"/>
  <c r="G20" i="27"/>
  <c r="D45" i="20"/>
  <c r="G29" i="27"/>
  <c r="G67" i="5"/>
  <c r="C27" i="22"/>
  <c r="C30" i="22" s="1"/>
  <c r="C31" i="22" s="1"/>
  <c r="L6" i="5"/>
  <c r="R54" i="5"/>
  <c r="X25" i="12"/>
  <c r="X33" i="12" s="1"/>
  <c r="X54" i="12" s="1"/>
  <c r="V33" i="12"/>
  <c r="AC37" i="12"/>
  <c r="AC21" i="13"/>
  <c r="AC20" i="13"/>
  <c r="AA8" i="12"/>
  <c r="AC29" i="12"/>
  <c r="AC7" i="16"/>
  <c r="AC38" i="12"/>
  <c r="AC25" i="12"/>
  <c r="AC47" i="12"/>
  <c r="AC6" i="16"/>
  <c r="L44" i="5"/>
  <c r="K26" i="5"/>
  <c r="AD48" i="18"/>
  <c r="AD47" i="18"/>
  <c r="AI47" i="18" s="1"/>
  <c r="AD40" i="18"/>
  <c r="AI40" i="18" s="1"/>
  <c r="AE47" i="12"/>
  <c r="AD51" i="18"/>
  <c r="AD50" i="18"/>
  <c r="AI50" i="18" s="1"/>
  <c r="H51" i="5"/>
  <c r="X16" i="13"/>
  <c r="V51" i="5"/>
  <c r="G18" i="27" l="1"/>
  <c r="H29" i="20"/>
  <c r="G27" i="27"/>
  <c r="H45" i="20"/>
  <c r="BD49" i="18"/>
  <c r="AS49" i="18"/>
  <c r="AI51" i="18"/>
  <c r="F3" i="29"/>
  <c r="AT56" i="18"/>
  <c r="L62" i="5"/>
  <c r="C8" i="20"/>
  <c r="H8" i="20" s="1"/>
  <c r="C104" i="20"/>
  <c r="S54" i="5"/>
  <c r="X54" i="5" s="1"/>
  <c r="M24" i="5"/>
  <c r="M26" i="5" s="1"/>
  <c r="M6" i="5"/>
  <c r="AC18" i="12"/>
  <c r="AC20" i="12" s="1"/>
  <c r="L33" i="5"/>
  <c r="AC22" i="12"/>
  <c r="L35" i="5"/>
  <c r="AC17" i="16"/>
  <c r="AE37" i="12"/>
  <c r="N62" i="5" s="1"/>
  <c r="AE29" i="12"/>
  <c r="AE25" i="12"/>
  <c r="AE7" i="16"/>
  <c r="AE11" i="13"/>
  <c r="AE6" i="16"/>
  <c r="AE16" i="13"/>
  <c r="AC6" i="12"/>
  <c r="AD29" i="12"/>
  <c r="AY29" i="12" s="1"/>
  <c r="AD37" i="12"/>
  <c r="AD7" i="16"/>
  <c r="AY7" i="16" s="1"/>
  <c r="AD20" i="13"/>
  <c r="AC22" i="13"/>
  <c r="AD21" i="13"/>
  <c r="U18" i="13"/>
  <c r="AC11" i="13"/>
  <c r="AC8" i="12"/>
  <c r="AC27" i="12"/>
  <c r="AC10" i="12"/>
  <c r="AD38" i="12"/>
  <c r="AD47" i="12"/>
  <c r="AY47" i="12" s="1"/>
  <c r="AC26" i="12"/>
  <c r="AC36" i="12"/>
  <c r="AD25" i="12"/>
  <c r="AC46" i="12"/>
  <c r="AD6" i="16"/>
  <c r="AC35" i="12"/>
  <c r="AD36" i="18"/>
  <c r="AI36" i="18" s="1"/>
  <c r="AD33" i="18"/>
  <c r="F6" i="29" s="1"/>
  <c r="I6" i="29" s="1"/>
  <c r="AD52" i="18"/>
  <c r="AI52" i="18" s="1"/>
  <c r="AD42" i="18"/>
  <c r="J51" i="5"/>
  <c r="AD20" i="18"/>
  <c r="H46" i="5"/>
  <c r="AD45" i="18"/>
  <c r="AI48" i="18"/>
  <c r="J26" i="5"/>
  <c r="AD37" i="18"/>
  <c r="AI37" i="18" s="1"/>
  <c r="H26" i="5"/>
  <c r="V64" i="5"/>
  <c r="R24" i="5"/>
  <c r="F22" i="29" l="1"/>
  <c r="F24" i="29"/>
  <c r="F23" i="29"/>
  <c r="F9" i="29"/>
  <c r="I9" i="29" s="1"/>
  <c r="Z54" i="5"/>
  <c r="AU49" i="18"/>
  <c r="AV49" i="18" s="1"/>
  <c r="F5" i="29"/>
  <c r="I5" i="29" s="1"/>
  <c r="D22" i="29" s="1"/>
  <c r="F4" i="29"/>
  <c r="I4" i="29" s="1"/>
  <c r="I3" i="29"/>
  <c r="D25" i="29" s="1"/>
  <c r="G25" i="29" s="1"/>
  <c r="G3" i="29"/>
  <c r="AI45" i="18"/>
  <c r="G9" i="29" s="1"/>
  <c r="D115" i="20"/>
  <c r="Y24" i="5"/>
  <c r="AY37" i="12"/>
  <c r="M62" i="5"/>
  <c r="AI20" i="18"/>
  <c r="AR20" i="18" s="1"/>
  <c r="AR56" i="18" s="1"/>
  <c r="AS48" i="18"/>
  <c r="AN52" i="18"/>
  <c r="C20" i="20"/>
  <c r="G4" i="27"/>
  <c r="H104" i="20"/>
  <c r="G58" i="27"/>
  <c r="M43" i="5"/>
  <c r="AI42" i="18"/>
  <c r="M44" i="5"/>
  <c r="AI33" i="18"/>
  <c r="M33" i="5"/>
  <c r="C24" i="20"/>
  <c r="C40" i="20"/>
  <c r="H40" i="20" s="1"/>
  <c r="AX16" i="13"/>
  <c r="AD16" i="13"/>
  <c r="R6" i="5"/>
  <c r="M35" i="5"/>
  <c r="AE17" i="16"/>
  <c r="AD17" i="16"/>
  <c r="AJ16" i="13"/>
  <c r="AE36" i="12"/>
  <c r="AE35" i="12"/>
  <c r="AE10" i="12"/>
  <c r="AD22" i="12"/>
  <c r="AQ47" i="12"/>
  <c r="AQ52" i="12" s="1"/>
  <c r="AR47" i="12"/>
  <c r="AJ25" i="12"/>
  <c r="AJ37" i="12"/>
  <c r="AN47" i="18"/>
  <c r="AJ6" i="16"/>
  <c r="AE26" i="12"/>
  <c r="AJ29" i="12"/>
  <c r="AJ7" i="16"/>
  <c r="AJ47" i="12"/>
  <c r="AE8" i="12"/>
  <c r="AE14" i="12" s="1"/>
  <c r="AE27" i="12"/>
  <c r="AN50" i="18"/>
  <c r="AC33" i="12"/>
  <c r="AY25" i="12"/>
  <c r="AT20" i="13"/>
  <c r="AD6" i="12"/>
  <c r="C132" i="20"/>
  <c r="H120" i="20"/>
  <c r="AD10" i="12"/>
  <c r="AI37" i="12"/>
  <c r="AI29" i="12"/>
  <c r="AY38" i="12"/>
  <c r="AI20" i="13"/>
  <c r="AD22" i="13"/>
  <c r="H3" i="25"/>
  <c r="I3" i="25" s="1"/>
  <c r="H3" i="22"/>
  <c r="I3" i="22" s="1"/>
  <c r="AI21" i="13"/>
  <c r="AD11" i="13"/>
  <c r="AD8" i="12"/>
  <c r="AD18" i="12"/>
  <c r="AD36" i="12"/>
  <c r="AY6" i="16"/>
  <c r="AY17" i="16" s="1"/>
  <c r="AI25" i="12"/>
  <c r="AI38" i="12"/>
  <c r="AI7" i="16"/>
  <c r="AI16" i="13"/>
  <c r="AI47" i="12"/>
  <c r="AI6" i="16"/>
  <c r="AD35" i="12"/>
  <c r="AD46" i="12"/>
  <c r="AD27" i="12"/>
  <c r="AY27" i="12" s="1"/>
  <c r="AD26" i="12"/>
  <c r="J40" i="5"/>
  <c r="C116" i="20"/>
  <c r="J46" i="5"/>
  <c r="AO11" i="13"/>
  <c r="L51" i="5"/>
  <c r="L46" i="5"/>
  <c r="AN51" i="18"/>
  <c r="AN40" i="18"/>
  <c r="AO47" i="12"/>
  <c r="L26" i="5"/>
  <c r="D112" i="20"/>
  <c r="D34" i="20" l="1"/>
  <c r="W33" i="5"/>
  <c r="AY6" i="12"/>
  <c r="AY10" i="12"/>
  <c r="AY14" i="12" s="1"/>
  <c r="AY18" i="12"/>
  <c r="AY20" i="12" s="1"/>
  <c r="AD20" i="12"/>
  <c r="AY22" i="12"/>
  <c r="AY23" i="12" s="1"/>
  <c r="AD23" i="12"/>
  <c r="D23" i="29"/>
  <c r="G6" i="29"/>
  <c r="E24" i="29"/>
  <c r="E22" i="29"/>
  <c r="G13" i="27"/>
  <c r="H24" i="20"/>
  <c r="BD52" i="18"/>
  <c r="BD40" i="18"/>
  <c r="BD50" i="18"/>
  <c r="BD51" i="18"/>
  <c r="BE49" i="18"/>
  <c r="AU48" i="18"/>
  <c r="AV48" i="18" s="1"/>
  <c r="G4" i="29"/>
  <c r="AS52" i="18"/>
  <c r="AS51" i="18"/>
  <c r="AS50" i="18"/>
  <c r="AS47" i="18"/>
  <c r="G66" i="27"/>
  <c r="G5" i="29"/>
  <c r="BB56" i="18"/>
  <c r="R33" i="5"/>
  <c r="R62" i="5"/>
  <c r="AS40" i="18"/>
  <c r="R43" i="5"/>
  <c r="R44" i="5"/>
  <c r="C52" i="20"/>
  <c r="G22" i="27"/>
  <c r="D16" i="20"/>
  <c r="H16" i="20" s="1"/>
  <c r="R35" i="5"/>
  <c r="S24" i="5"/>
  <c r="X24" i="5" s="1"/>
  <c r="X26" i="5" s="1"/>
  <c r="S6" i="5"/>
  <c r="X6" i="5" s="1"/>
  <c r="AI17" i="16"/>
  <c r="AI22" i="12"/>
  <c r="AI23" i="12" s="1"/>
  <c r="AN36" i="18"/>
  <c r="S33" i="5" s="1"/>
  <c r="AE33" i="12"/>
  <c r="AD33" i="12"/>
  <c r="AO25" i="12"/>
  <c r="AO7" i="16"/>
  <c r="AO16" i="13"/>
  <c r="AO29" i="12"/>
  <c r="BD20" i="18"/>
  <c r="AJ8" i="12"/>
  <c r="AJ27" i="12"/>
  <c r="AO37" i="12"/>
  <c r="T62" i="5" s="1"/>
  <c r="AJ35" i="12"/>
  <c r="AJ10" i="12"/>
  <c r="AJ36" i="12"/>
  <c r="AJ26" i="12"/>
  <c r="AO6" i="16"/>
  <c r="AN47" i="12"/>
  <c r="H112" i="20"/>
  <c r="AR21" i="13"/>
  <c r="AR22" i="13" s="1"/>
  <c r="AR16" i="13"/>
  <c r="AY46" i="12"/>
  <c r="AQ18" i="12"/>
  <c r="AQ20" i="12" s="1"/>
  <c r="AI6" i="12"/>
  <c r="AN9" i="12"/>
  <c r="AT21" i="13"/>
  <c r="AT22" i="13" s="1"/>
  <c r="R26" i="5"/>
  <c r="AI18" i="12"/>
  <c r="AI20" i="12" s="1"/>
  <c r="AN29" i="12"/>
  <c r="AN37" i="12"/>
  <c r="AP21" i="13"/>
  <c r="AP22" i="13" s="1"/>
  <c r="AN33" i="18"/>
  <c r="AI22" i="13"/>
  <c r="AY36" i="12"/>
  <c r="AR9" i="12"/>
  <c r="AN21" i="13"/>
  <c r="AN20" i="13"/>
  <c r="AY26" i="12"/>
  <c r="AY8" i="12"/>
  <c r="AI11" i="13"/>
  <c r="AX18" i="13"/>
  <c r="AN38" i="12"/>
  <c r="AN25" i="12"/>
  <c r="AN16" i="13"/>
  <c r="AB49" i="5"/>
  <c r="AN6" i="16"/>
  <c r="AY35" i="12"/>
  <c r="AI46" i="12"/>
  <c r="AI10" i="12"/>
  <c r="AI8" i="12"/>
  <c r="AI36" i="12"/>
  <c r="AI27" i="12"/>
  <c r="AI26" i="12"/>
  <c r="AI35" i="12"/>
  <c r="AN7" i="16"/>
  <c r="AB9" i="5"/>
  <c r="AN42" i="18"/>
  <c r="AN45" i="18"/>
  <c r="M51" i="5"/>
  <c r="W51" i="5"/>
  <c r="AN37" i="18"/>
  <c r="AJ14" i="12" l="1"/>
  <c r="Z24" i="5"/>
  <c r="G12" i="27"/>
  <c r="BD45" i="18"/>
  <c r="BD37" i="18"/>
  <c r="BD42" i="18"/>
  <c r="BD33" i="18"/>
  <c r="BD36" i="18"/>
  <c r="X10" i="5"/>
  <c r="X11" i="5" s="1"/>
  <c r="Z6" i="5"/>
  <c r="AU40" i="18"/>
  <c r="AV40" i="18" s="1"/>
  <c r="AU50" i="18"/>
  <c r="BE50" i="18" s="1"/>
  <c r="AU52" i="18"/>
  <c r="AV52" i="18" s="1"/>
  <c r="AU47" i="18"/>
  <c r="AV47" i="18" s="1"/>
  <c r="AU51" i="18"/>
  <c r="AV51" i="18" s="1"/>
  <c r="AS45" i="18"/>
  <c r="F28" i="29"/>
  <c r="G22" i="29"/>
  <c r="S62" i="5"/>
  <c r="X62" i="5" s="1"/>
  <c r="AS42" i="18"/>
  <c r="AS37" i="18"/>
  <c r="AS33" i="18"/>
  <c r="AS20" i="18"/>
  <c r="AU20" i="18" s="1"/>
  <c r="AS36" i="18"/>
  <c r="BD48" i="18"/>
  <c r="BE48" i="18" s="1"/>
  <c r="AT47" i="12"/>
  <c r="AT16" i="13"/>
  <c r="AT6" i="16"/>
  <c r="AT29" i="12"/>
  <c r="D48" i="20"/>
  <c r="H48" i="20" s="1"/>
  <c r="D32" i="20"/>
  <c r="H32" i="20" s="1"/>
  <c r="AQ56" i="18"/>
  <c r="S44" i="5"/>
  <c r="S43" i="5"/>
  <c r="AT7" i="16"/>
  <c r="V33" i="5"/>
  <c r="X33" i="5" s="1"/>
  <c r="Z33" i="5" s="1"/>
  <c r="AN22" i="12"/>
  <c r="AN23" i="12" s="1"/>
  <c r="S35" i="5"/>
  <c r="X35" i="5" s="1"/>
  <c r="Z35" i="5" s="1"/>
  <c r="AJ33" i="12"/>
  <c r="AO17" i="16"/>
  <c r="AN17" i="16"/>
  <c r="AI33" i="12"/>
  <c r="AO35" i="12"/>
  <c r="AO10" i="12"/>
  <c r="AO14" i="12" s="1"/>
  <c r="AO26" i="12"/>
  <c r="AT25" i="12"/>
  <c r="AO27" i="12"/>
  <c r="AA18" i="5"/>
  <c r="AT11" i="13"/>
  <c r="AO36" i="12"/>
  <c r="AT37" i="12"/>
  <c r="Y62" i="5" s="1"/>
  <c r="AA54" i="5"/>
  <c r="AS47" i="12"/>
  <c r="AN10" i="12"/>
  <c r="AN14" i="12" s="1"/>
  <c r="AA24" i="5"/>
  <c r="D132" i="20"/>
  <c r="F132" i="20" s="1"/>
  <c r="H128" i="20"/>
  <c r="AB45" i="5"/>
  <c r="AN26" i="12"/>
  <c r="AB37" i="5"/>
  <c r="AN11" i="13"/>
  <c r="AB39" i="5"/>
  <c r="AR18" i="12"/>
  <c r="AR20" i="12" s="1"/>
  <c r="D100" i="20"/>
  <c r="F100" i="20" s="1"/>
  <c r="AN22" i="13"/>
  <c r="AS37" i="12"/>
  <c r="AS25" i="12"/>
  <c r="AS21" i="13"/>
  <c r="AS20" i="13"/>
  <c r="AS7" i="16"/>
  <c r="AR8" i="12"/>
  <c r="AS29" i="12"/>
  <c r="AS38" i="12"/>
  <c r="AR46" i="12"/>
  <c r="AR52" i="12" s="1"/>
  <c r="AQ8" i="12"/>
  <c r="AQ26" i="12"/>
  <c r="AQ33" i="12" s="1"/>
  <c r="AS6" i="16"/>
  <c r="AB8" i="5"/>
  <c r="AN27" i="12"/>
  <c r="AN35" i="12"/>
  <c r="AN36" i="12"/>
  <c r="AR10" i="12"/>
  <c r="AB22" i="5"/>
  <c r="AB7" i="5"/>
  <c r="AB38" i="5"/>
  <c r="AB58" i="5"/>
  <c r="AS16" i="13"/>
  <c r="W26" i="5"/>
  <c r="D20" i="20"/>
  <c r="R51" i="5"/>
  <c r="W46" i="5"/>
  <c r="V46" i="5"/>
  <c r="M46" i="5"/>
  <c r="AR14" i="12" l="1"/>
  <c r="G21" i="27"/>
  <c r="BE40" i="18"/>
  <c r="BE52" i="18"/>
  <c r="BE51" i="18"/>
  <c r="AV50" i="18"/>
  <c r="AA62" i="5" s="1"/>
  <c r="AU33" i="18"/>
  <c r="AV33" i="18" s="1"/>
  <c r="AA44" i="5" s="1"/>
  <c r="AU37" i="18"/>
  <c r="AV37" i="18" s="1"/>
  <c r="AU36" i="18"/>
  <c r="BE36" i="18" s="1"/>
  <c r="AU42" i="18"/>
  <c r="BE42" i="18" s="1"/>
  <c r="AU45" i="18"/>
  <c r="BE45" i="18" s="1"/>
  <c r="Z62" i="5"/>
  <c r="X40" i="5"/>
  <c r="X43" i="5"/>
  <c r="X44" i="5"/>
  <c r="Z44" i="5" s="1"/>
  <c r="BE20" i="18"/>
  <c r="D52" i="20"/>
  <c r="F52" i="20" s="1"/>
  <c r="G30" i="27"/>
  <c r="BD47" i="18"/>
  <c r="BE47" i="18" s="1"/>
  <c r="AT17" i="16"/>
  <c r="AT35" i="12"/>
  <c r="AT26" i="12"/>
  <c r="AT36" i="12"/>
  <c r="AX56" i="18"/>
  <c r="V72" i="5" s="1"/>
  <c r="Z72" i="5" s="1"/>
  <c r="AS17" i="16"/>
  <c r="AA6" i="5"/>
  <c r="AT8" i="12"/>
  <c r="AB24" i="5"/>
  <c r="AO33" i="12"/>
  <c r="AN33" i="12"/>
  <c r="AT10" i="12"/>
  <c r="AS22" i="12"/>
  <c r="AS23" i="12" s="1"/>
  <c r="AB17" i="5"/>
  <c r="AU47" i="12"/>
  <c r="AT27" i="12"/>
  <c r="AB50" i="5"/>
  <c r="AB51" i="5" s="1"/>
  <c r="E20" i="20"/>
  <c r="F20" i="20"/>
  <c r="U40" i="5"/>
  <c r="AS22" i="13"/>
  <c r="AU21" i="13"/>
  <c r="AS11" i="13"/>
  <c r="AS27" i="12"/>
  <c r="AS35" i="12"/>
  <c r="AS36" i="12"/>
  <c r="AU20" i="13"/>
  <c r="AS26" i="12"/>
  <c r="AS46" i="12"/>
  <c r="AS8" i="12"/>
  <c r="AU37" i="12"/>
  <c r="AU29" i="12"/>
  <c r="AS10" i="12"/>
  <c r="W59" i="5"/>
  <c r="AS18" i="12"/>
  <c r="AS20" i="12" s="1"/>
  <c r="AU16" i="13"/>
  <c r="AU46" i="12"/>
  <c r="AU25" i="12"/>
  <c r="AU38" i="12"/>
  <c r="AU6" i="16"/>
  <c r="AU7" i="16"/>
  <c r="D116" i="20"/>
  <c r="F116" i="20" s="1"/>
  <c r="S51" i="5"/>
  <c r="U59" i="5"/>
  <c r="W40" i="5"/>
  <c r="U26" i="5"/>
  <c r="U46" i="5"/>
  <c r="R46" i="5"/>
  <c r="V26" i="5"/>
  <c r="AT14" i="12" l="1"/>
  <c r="BE33" i="18"/>
  <c r="BE37" i="18"/>
  <c r="AV36" i="18"/>
  <c r="AA33" i="5" s="1"/>
  <c r="AV42" i="18"/>
  <c r="AA43" i="5" s="1"/>
  <c r="AV45" i="18"/>
  <c r="X46" i="5"/>
  <c r="Z43" i="5"/>
  <c r="AX6" i="18"/>
  <c r="AT33" i="12"/>
  <c r="AU17" i="16"/>
  <c r="AA35" i="5"/>
  <c r="AA26" i="5"/>
  <c r="AA28" i="5" s="1"/>
  <c r="AA29" i="5" s="1"/>
  <c r="AA10" i="5"/>
  <c r="AA11" i="5" s="1"/>
  <c r="AB44" i="5"/>
  <c r="AS33" i="12"/>
  <c r="AU22" i="12"/>
  <c r="AU23" i="12" s="1"/>
  <c r="AB62" i="5"/>
  <c r="AB23" i="5"/>
  <c r="AB26" i="5" s="1"/>
  <c r="AS18" i="13"/>
  <c r="AU22" i="13"/>
  <c r="AU11" i="13"/>
  <c r="AU26" i="12"/>
  <c r="AU18" i="12"/>
  <c r="AU20" i="12" s="1"/>
  <c r="AU36" i="12"/>
  <c r="AU10" i="12"/>
  <c r="AU35" i="12"/>
  <c r="AU8" i="12"/>
  <c r="AU27" i="12"/>
  <c r="AT18" i="13"/>
  <c r="Y40" i="5"/>
  <c r="Y46" i="5"/>
  <c r="U66" i="5"/>
  <c r="U67" i="5" s="1"/>
  <c r="W66" i="5"/>
  <c r="W67" i="5" s="1"/>
  <c r="S26" i="5"/>
  <c r="S46" i="5"/>
  <c r="AB43" i="5" l="1"/>
  <c r="AB46" i="5" s="1"/>
  <c r="AB6" i="5"/>
  <c r="AB10" i="5" s="1"/>
  <c r="AB11" i="5" s="1"/>
  <c r="AA46" i="5"/>
  <c r="AU33" i="12"/>
  <c r="AB35" i="5"/>
  <c r="Z26" i="5"/>
  <c r="Y26" i="5"/>
  <c r="Y59" i="5"/>
  <c r="Z46" i="5"/>
  <c r="Y51" i="5"/>
  <c r="Z51" i="5"/>
  <c r="AA40" i="5" l="1"/>
  <c r="H10" i="5" l="1"/>
  <c r="I10" i="5"/>
  <c r="R10" i="5"/>
  <c r="W10" i="5"/>
  <c r="O10" i="5"/>
  <c r="N10" i="5"/>
  <c r="V10" i="5"/>
  <c r="M10" i="5"/>
  <c r="Q10" i="5"/>
  <c r="K10" i="5"/>
  <c r="Y10" i="5"/>
  <c r="L10" i="5"/>
  <c r="T10" i="5"/>
  <c r="S10" i="5"/>
  <c r="P10" i="5"/>
  <c r="J10" i="5"/>
  <c r="U10" i="5"/>
  <c r="D10" i="5"/>
  <c r="G10" i="5"/>
  <c r="R11" i="5" l="1"/>
  <c r="H11" i="5"/>
  <c r="I11" i="5"/>
  <c r="W11" i="5"/>
  <c r="V11" i="5"/>
  <c r="S11" i="5"/>
  <c r="M11" i="5"/>
  <c r="N11" i="5"/>
  <c r="G11" i="5"/>
  <c r="J11" i="5"/>
  <c r="L11" i="5"/>
  <c r="Y11" i="5"/>
  <c r="Z10" i="5"/>
  <c r="Q11" i="5"/>
  <c r="O11" i="5"/>
  <c r="P11" i="5"/>
  <c r="U11" i="5"/>
  <c r="T11" i="5"/>
  <c r="K11" i="5"/>
  <c r="Z11" i="5" l="1"/>
  <c r="Q35" i="18" l="1"/>
  <c r="Q56" i="18" s="1"/>
  <c r="Q48" i="12" l="1"/>
  <c r="Q9" i="12"/>
  <c r="T35" i="18"/>
  <c r="T56" i="18" s="1"/>
  <c r="S35" i="18"/>
  <c r="S56" i="18" s="1"/>
  <c r="R35" i="18"/>
  <c r="R56" i="18" s="1"/>
  <c r="Q52" i="12" l="1"/>
  <c r="Q40" i="12"/>
  <c r="Q44" i="12" s="1"/>
  <c r="S48" i="12"/>
  <c r="R48" i="12"/>
  <c r="T48" i="12"/>
  <c r="Q23" i="12"/>
  <c r="Q33" i="12"/>
  <c r="U35" i="18"/>
  <c r="E8" i="29" s="1"/>
  <c r="R9" i="12"/>
  <c r="S9" i="12"/>
  <c r="T9" i="12"/>
  <c r="J59" i="5"/>
  <c r="J66" i="5" s="1"/>
  <c r="E7" i="29" l="1"/>
  <c r="E14" i="29" s="1"/>
  <c r="E15" i="29"/>
  <c r="R52" i="12"/>
  <c r="R40" i="12"/>
  <c r="R44" i="12" s="1"/>
  <c r="S52" i="12"/>
  <c r="S40" i="12"/>
  <c r="S44" i="12" s="1"/>
  <c r="T52" i="12"/>
  <c r="T40" i="12"/>
  <c r="T44" i="12" s="1"/>
  <c r="D80" i="20"/>
  <c r="D78" i="20" s="1"/>
  <c r="D64" i="20"/>
  <c r="U56" i="18"/>
  <c r="V48" i="12"/>
  <c r="H55" i="5"/>
  <c r="U48" i="12"/>
  <c r="T23" i="12"/>
  <c r="S23" i="12"/>
  <c r="R23" i="12"/>
  <c r="Q54" i="12"/>
  <c r="R33" i="12"/>
  <c r="T33" i="12"/>
  <c r="S33" i="12"/>
  <c r="U9" i="12"/>
  <c r="U14" i="12" s="1"/>
  <c r="J67" i="5"/>
  <c r="E132" i="20"/>
  <c r="E16" i="29" l="1"/>
  <c r="I63" i="5"/>
  <c r="I64" i="5" s="1"/>
  <c r="I66" i="5" s="1"/>
  <c r="I67" i="5" s="1"/>
  <c r="V40" i="12"/>
  <c r="H63" i="5"/>
  <c r="H64" i="5" s="1"/>
  <c r="U40" i="12"/>
  <c r="AU57" i="26"/>
  <c r="G47" i="27"/>
  <c r="H80" i="20"/>
  <c r="H78" i="20"/>
  <c r="G45" i="27"/>
  <c r="U52" i="12"/>
  <c r="V52" i="12"/>
  <c r="D62" i="20"/>
  <c r="G38" i="27"/>
  <c r="R54" i="12"/>
  <c r="S54" i="12"/>
  <c r="T54" i="12"/>
  <c r="U33" i="12"/>
  <c r="H64" i="20"/>
  <c r="H40" i="5"/>
  <c r="AA9" i="12"/>
  <c r="H59" i="5"/>
  <c r="V54" i="12" l="1"/>
  <c r="H62" i="20"/>
  <c r="G36" i="27"/>
  <c r="AC56" i="18"/>
  <c r="L55" i="5"/>
  <c r="L59" i="5" s="1"/>
  <c r="AC48" i="12"/>
  <c r="L40" i="5"/>
  <c r="U54" i="12"/>
  <c r="U58" i="18" s="1"/>
  <c r="AC9" i="12"/>
  <c r="AC14" i="12" s="1"/>
  <c r="AD35" i="18"/>
  <c r="F8" i="29" s="1"/>
  <c r="I8" i="29" s="1"/>
  <c r="H66" i="5"/>
  <c r="H67" i="5" s="1"/>
  <c r="G23" i="29" l="1"/>
  <c r="E26" i="29"/>
  <c r="F7" i="29"/>
  <c r="F15" i="29"/>
  <c r="L63" i="5"/>
  <c r="L64" i="5" s="1"/>
  <c r="AC40" i="12"/>
  <c r="C73" i="20"/>
  <c r="AC52" i="12"/>
  <c r="C57" i="20"/>
  <c r="G31" i="27" s="1"/>
  <c r="AI35" i="18"/>
  <c r="G8" i="29" s="1"/>
  <c r="AD56" i="18"/>
  <c r="E134" i="20" s="1"/>
  <c r="M55" i="5"/>
  <c r="M59" i="5" s="1"/>
  <c r="AE48" i="12"/>
  <c r="AD48" i="12"/>
  <c r="M40" i="5"/>
  <c r="AD9" i="12"/>
  <c r="AD14" i="12" s="1"/>
  <c r="G26" i="29" l="1"/>
  <c r="E28" i="29"/>
  <c r="G7" i="29"/>
  <c r="G14" i="29" s="1"/>
  <c r="G15" i="29"/>
  <c r="I7" i="29"/>
  <c r="F14" i="29"/>
  <c r="F16" i="29" s="1"/>
  <c r="AC54" i="12"/>
  <c r="N63" i="5"/>
  <c r="N64" i="5" s="1"/>
  <c r="N66" i="5" s="1"/>
  <c r="N67" i="5" s="1"/>
  <c r="AE40" i="12"/>
  <c r="M63" i="5"/>
  <c r="M64" i="5" s="1"/>
  <c r="AD40" i="12"/>
  <c r="L66" i="5"/>
  <c r="L67" i="5" s="1"/>
  <c r="H73" i="20"/>
  <c r="G40" i="27"/>
  <c r="C85" i="20"/>
  <c r="AE52" i="12"/>
  <c r="AD52" i="12"/>
  <c r="AI56" i="18"/>
  <c r="R55" i="5"/>
  <c r="R59" i="5" s="1"/>
  <c r="AY48" i="12"/>
  <c r="AJ48" i="12"/>
  <c r="AJ52" i="12" s="1"/>
  <c r="AI48" i="12"/>
  <c r="R40" i="5"/>
  <c r="C69" i="20"/>
  <c r="H57" i="20"/>
  <c r="G134" i="20"/>
  <c r="AY9" i="12"/>
  <c r="AN35" i="18"/>
  <c r="C36" i="20"/>
  <c r="AI9" i="12"/>
  <c r="AI14" i="12" s="1"/>
  <c r="V59" i="5"/>
  <c r="BD35" i="18" l="1"/>
  <c r="D24" i="29"/>
  <c r="I14" i="29"/>
  <c r="G16" i="29"/>
  <c r="G18" i="29"/>
  <c r="AE54" i="12"/>
  <c r="R63" i="5"/>
  <c r="R64" i="5" s="1"/>
  <c r="AI40" i="12"/>
  <c r="AY52" i="12"/>
  <c r="AY40" i="12"/>
  <c r="D81" i="20"/>
  <c r="M66" i="5"/>
  <c r="M67" i="5" s="1"/>
  <c r="AI52" i="12"/>
  <c r="D65" i="20"/>
  <c r="AS35" i="18"/>
  <c r="AU35" i="18" s="1"/>
  <c r="AN56" i="18"/>
  <c r="S55" i="5"/>
  <c r="X55" i="5" s="1"/>
  <c r="AO48" i="12"/>
  <c r="AN48" i="12"/>
  <c r="AD54" i="12"/>
  <c r="AY33" i="12"/>
  <c r="C134" i="20"/>
  <c r="V40" i="5"/>
  <c r="V66" i="5" s="1"/>
  <c r="V67" i="5" s="1"/>
  <c r="AQ9" i="12"/>
  <c r="AQ14" i="12" s="1"/>
  <c r="AB54" i="5"/>
  <c r="G48" i="27" l="1"/>
  <c r="H81" i="20"/>
  <c r="G39" i="27"/>
  <c r="H65" i="20"/>
  <c r="Z55" i="5"/>
  <c r="X59" i="5"/>
  <c r="G24" i="29"/>
  <c r="G28" i="29" s="1"/>
  <c r="H28" i="29" s="1"/>
  <c r="D28" i="29"/>
  <c r="S63" i="5"/>
  <c r="AN40" i="12"/>
  <c r="T63" i="5"/>
  <c r="AO40" i="12"/>
  <c r="D85" i="20"/>
  <c r="F85" i="20" s="1"/>
  <c r="R66" i="5"/>
  <c r="R67" i="5" s="1"/>
  <c r="AO52" i="12"/>
  <c r="AN52" i="12"/>
  <c r="AW56" i="18"/>
  <c r="AS56" i="18"/>
  <c r="AS62" i="18" s="1"/>
  <c r="AT48" i="12"/>
  <c r="AS48" i="12"/>
  <c r="AI54" i="12"/>
  <c r="D69" i="20"/>
  <c r="F69" i="20" s="1"/>
  <c r="AB57" i="5"/>
  <c r="S59" i="5"/>
  <c r="S40" i="5"/>
  <c r="AS9" i="12"/>
  <c r="AS14" i="12" s="1"/>
  <c r="D36" i="20"/>
  <c r="AB33" i="5"/>
  <c r="X63" i="5" l="1"/>
  <c r="X64" i="5" s="1"/>
  <c r="X66" i="5" s="1"/>
  <c r="AV35" i="18"/>
  <c r="BE35" i="18"/>
  <c r="AS52" i="12"/>
  <c r="AS40" i="12"/>
  <c r="Y63" i="5"/>
  <c r="AT40" i="12"/>
  <c r="BC56" i="18"/>
  <c r="BC57" i="18" s="1"/>
  <c r="AX39" i="26"/>
  <c r="AX35" i="26"/>
  <c r="AX31" i="26"/>
  <c r="AX27" i="26"/>
  <c r="AX23" i="26"/>
  <c r="AX19" i="26"/>
  <c r="AX15" i="26"/>
  <c r="AX11" i="26"/>
  <c r="AX42" i="26"/>
  <c r="AX38" i="26"/>
  <c r="AX34" i="26"/>
  <c r="AX30" i="26"/>
  <c r="AX26" i="26"/>
  <c r="AX22" i="26"/>
  <c r="AX18" i="26"/>
  <c r="AX14" i="26"/>
  <c r="AX10" i="26"/>
  <c r="AX36" i="26"/>
  <c r="AX16" i="26"/>
  <c r="AX8" i="26"/>
  <c r="AX41" i="26"/>
  <c r="AX37" i="26"/>
  <c r="AX33" i="26"/>
  <c r="AX29" i="26"/>
  <c r="AX25" i="26"/>
  <c r="AX21" i="26"/>
  <c r="AX17" i="26"/>
  <c r="AX13" i="26"/>
  <c r="AX9" i="26"/>
  <c r="AX40" i="26"/>
  <c r="AX32" i="26"/>
  <c r="AX28" i="26"/>
  <c r="AX24" i="26"/>
  <c r="AX20" i="26"/>
  <c r="AX12" i="26"/>
  <c r="AT52" i="12"/>
  <c r="S64" i="5"/>
  <c r="S66" i="5" s="1"/>
  <c r="S67" i="5" s="1"/>
  <c r="T64" i="5"/>
  <c r="T66" i="5" s="1"/>
  <c r="T67" i="5" s="1"/>
  <c r="AW6" i="18"/>
  <c r="AU56" i="18"/>
  <c r="AA63" i="5"/>
  <c r="AA64" i="5" s="1"/>
  <c r="AU48" i="12"/>
  <c r="D134" i="20"/>
  <c r="H134" i="20" s="1"/>
  <c r="Z40" i="5"/>
  <c r="Z59" i="5"/>
  <c r="F36" i="20"/>
  <c r="AU9" i="12"/>
  <c r="AU14" i="12" s="1"/>
  <c r="Z63" i="5" l="1"/>
  <c r="Z64" i="5" s="1"/>
  <c r="Z66" i="5" s="1"/>
  <c r="Z67" i="5" s="1"/>
  <c r="X69" i="5"/>
  <c r="X67" i="5"/>
  <c r="AU52" i="12"/>
  <c r="AU40" i="12"/>
  <c r="Y64" i="5"/>
  <c r="Y66" i="5" s="1"/>
  <c r="Y67" i="5" s="1"/>
  <c r="AU57" i="18"/>
  <c r="AA55" i="5"/>
  <c r="AA59" i="5" s="1"/>
  <c r="AA66" i="5" s="1"/>
  <c r="BD56" i="18"/>
  <c r="BD57" i="18" s="1"/>
  <c r="AB40" i="5"/>
  <c r="AC18" i="13"/>
  <c r="AC58" i="18" s="1"/>
  <c r="AR18" i="13"/>
  <c r="AO18" i="13"/>
  <c r="AI18" i="13"/>
  <c r="AI58" i="18" s="1"/>
  <c r="S18" i="13"/>
  <c r="S58" i="18" s="1"/>
  <c r="X70" i="5" l="1"/>
  <c r="X80" i="5"/>
  <c r="AB63" i="5"/>
  <c r="AB64" i="5" s="1"/>
  <c r="AB55" i="5"/>
  <c r="AB59" i="5" s="1"/>
  <c r="AA67" i="5"/>
  <c r="AA69" i="5"/>
  <c r="AA70" i="5" s="1"/>
  <c r="BC6" i="18"/>
  <c r="AD18" i="13"/>
  <c r="AD58" i="18" s="1"/>
  <c r="M16" i="5"/>
  <c r="W16" i="5"/>
  <c r="V16" i="5"/>
  <c r="AE18" i="13"/>
  <c r="AE58" i="18" s="1"/>
  <c r="AG18" i="13"/>
  <c r="AG58" i="18" s="1"/>
  <c r="AQ18" i="13"/>
  <c r="T18" i="13"/>
  <c r="T58" i="18" s="1"/>
  <c r="Z18" i="13"/>
  <c r="Z58" i="18" s="1"/>
  <c r="Q16" i="5"/>
  <c r="P16" i="5"/>
  <c r="V18" i="13"/>
  <c r="V58" i="18" s="1"/>
  <c r="Q18" i="13"/>
  <c r="Q58" i="18" s="1"/>
  <c r="X18" i="13"/>
  <c r="X58" i="18" s="1"/>
  <c r="AF18" i="13"/>
  <c r="AF58" i="18" s="1"/>
  <c r="AH18" i="13"/>
  <c r="AH58" i="18" s="1"/>
  <c r="AP18" i="13"/>
  <c r="AN18" i="13"/>
  <c r="K16" i="5"/>
  <c r="H16" i="5"/>
  <c r="G16" i="5"/>
  <c r="R15" i="5"/>
  <c r="Q15" i="5"/>
  <c r="T16" i="5"/>
  <c r="Y16" i="5"/>
  <c r="U16" i="5"/>
  <c r="M15" i="5"/>
  <c r="S16" i="5"/>
  <c r="O16" i="5"/>
  <c r="R16" i="5"/>
  <c r="L16" i="5"/>
  <c r="Y15" i="5"/>
  <c r="L15" i="5"/>
  <c r="J15" i="5"/>
  <c r="H15" i="5"/>
  <c r="K15" i="5"/>
  <c r="S15" i="5"/>
  <c r="P15" i="5"/>
  <c r="I15" i="5"/>
  <c r="N15" i="5"/>
  <c r="T15" i="5"/>
  <c r="W15" i="5"/>
  <c r="O15" i="5"/>
  <c r="D15" i="5"/>
  <c r="J16" i="5"/>
  <c r="N16" i="5"/>
  <c r="D16" i="5"/>
  <c r="V15" i="5"/>
  <c r="U15" i="5"/>
  <c r="I16" i="5"/>
  <c r="R18" i="13"/>
  <c r="R58" i="18" s="1"/>
  <c r="X15" i="5" l="1"/>
  <c r="Z15" i="5" s="1"/>
  <c r="AB15" i="5" s="1"/>
  <c r="X16" i="5"/>
  <c r="AB66" i="5"/>
  <c r="AB67" i="5" s="1"/>
  <c r="AU18" i="13"/>
  <c r="G18" i="5"/>
  <c r="T18" i="5"/>
  <c r="M18" i="5"/>
  <c r="U18" i="5"/>
  <c r="D18" i="5"/>
  <c r="N18" i="5"/>
  <c r="K18" i="5"/>
  <c r="Y18" i="5"/>
  <c r="L18" i="5"/>
  <c r="V18" i="5"/>
  <c r="O18" i="5"/>
  <c r="I18" i="5"/>
  <c r="H18" i="5"/>
  <c r="R18" i="5"/>
  <c r="R28" i="5" s="1"/>
  <c r="S18" i="5"/>
  <c r="W18" i="5"/>
  <c r="P18" i="5"/>
  <c r="J18" i="5"/>
  <c r="Q18" i="5"/>
  <c r="X18" i="5" l="1"/>
  <c r="Z16" i="5"/>
  <c r="AB16" i="5" s="1"/>
  <c r="AB18" i="5" s="1"/>
  <c r="AB28" i="5" s="1"/>
  <c r="P28" i="5"/>
  <c r="P69" i="5" s="1"/>
  <c r="S28" i="5"/>
  <c r="S69" i="5" s="1"/>
  <c r="S74" i="5" s="1"/>
  <c r="Q28" i="5"/>
  <c r="Q29" i="5" s="1"/>
  <c r="T28" i="5"/>
  <c r="T69" i="5" s="1"/>
  <c r="H28" i="5"/>
  <c r="H29" i="5" s="1"/>
  <c r="J28" i="5"/>
  <c r="J29" i="5" s="1"/>
  <c r="U28" i="5"/>
  <c r="U29" i="5" s="1"/>
  <c r="V28" i="5"/>
  <c r="V29" i="5" s="1"/>
  <c r="W28" i="5"/>
  <c r="W69" i="5" s="1"/>
  <c r="W74" i="5" s="1"/>
  <c r="L28" i="5"/>
  <c r="L29" i="5" s="1"/>
  <c r="O28" i="5"/>
  <c r="O69" i="5" s="1"/>
  <c r="I28" i="5"/>
  <c r="I69" i="5" s="1"/>
  <c r="R29" i="5"/>
  <c r="N28" i="5"/>
  <c r="N69" i="5" s="1"/>
  <c r="M28" i="5"/>
  <c r="M69" i="5" s="1"/>
  <c r="Y28" i="5"/>
  <c r="Y29" i="5" s="1"/>
  <c r="K28" i="5"/>
  <c r="K29" i="5" s="1"/>
  <c r="G28" i="5"/>
  <c r="D28" i="5"/>
  <c r="D69" i="5" s="1"/>
  <c r="Z18" i="5"/>
  <c r="G69" i="5" l="1"/>
  <c r="AB29" i="5"/>
  <c r="AB69" i="5"/>
  <c r="AB70" i="5" s="1"/>
  <c r="P29" i="5"/>
  <c r="S29" i="5"/>
  <c r="J69" i="5"/>
  <c r="Q69" i="5"/>
  <c r="Q70" i="5" s="1"/>
  <c r="U69" i="5"/>
  <c r="T29" i="5"/>
  <c r="W29" i="5"/>
  <c r="O29" i="5"/>
  <c r="M29" i="5"/>
  <c r="H69" i="5"/>
  <c r="V69" i="5"/>
  <c r="V74" i="5" s="1"/>
  <c r="Z74" i="5" s="1"/>
  <c r="AB74" i="5" s="1"/>
  <c r="Z28" i="5"/>
  <c r="R69" i="5"/>
  <c r="R70" i="5" s="1"/>
  <c r="K69" i="5"/>
  <c r="K70" i="5" s="1"/>
  <c r="L69" i="5"/>
  <c r="I29" i="5"/>
  <c r="Y69" i="5"/>
  <c r="N29" i="5"/>
  <c r="G29" i="5"/>
  <c r="W70" i="5"/>
  <c r="N70" i="5"/>
  <c r="P70" i="5"/>
  <c r="O70" i="5"/>
  <c r="T70" i="5"/>
  <c r="I70" i="5"/>
  <c r="M70" i="5"/>
  <c r="S70" i="5"/>
  <c r="F28" i="5" l="1"/>
  <c r="H75" i="5"/>
  <c r="G70" i="5"/>
  <c r="F51" i="5"/>
  <c r="F64" i="5"/>
  <c r="F59" i="5"/>
  <c r="F46" i="5"/>
  <c r="F40" i="5"/>
  <c r="F26" i="5"/>
  <c r="F66" i="5"/>
  <c r="F10" i="5"/>
  <c r="F18" i="5"/>
  <c r="Z69" i="5"/>
  <c r="Z70" i="5" s="1"/>
  <c r="Z29" i="5"/>
  <c r="J70" i="5"/>
  <c r="U70" i="5"/>
  <c r="H70" i="5"/>
  <c r="L70" i="5"/>
  <c r="V70" i="5"/>
  <c r="Y70" i="5"/>
  <c r="G76" i="5" l="1"/>
  <c r="G77" i="5" s="1"/>
  <c r="AY54" i="12" l="1"/>
  <c r="R76" i="5"/>
  <c r="H76" i="5"/>
  <c r="H77" i="5" s="1"/>
  <c r="M76" i="5"/>
  <c r="M77" i="5" s="1"/>
  <c r="R77" i="5" l="1"/>
  <c r="AQ54" i="12" l="1"/>
  <c r="AQ58" i="18" s="1"/>
  <c r="AR54" i="12"/>
  <c r="AO54" i="12"/>
  <c r="AO58" i="18" s="1"/>
  <c r="AU54" i="12"/>
  <c r="AS54" i="12"/>
  <c r="AS58" i="18" s="1"/>
  <c r="AT54" i="12"/>
  <c r="AN54" i="12"/>
  <c r="AN58" i="18" s="1"/>
  <c r="AP54" i="12"/>
  <c r="U76" i="5" l="1"/>
  <c r="U77" i="5" s="1"/>
  <c r="AP58" i="18"/>
  <c r="Y76" i="5"/>
  <c r="Y77" i="5" s="1"/>
  <c r="AT58" i="18"/>
  <c r="W76" i="5"/>
  <c r="W77" i="5" s="1"/>
  <c r="AR58" i="18"/>
  <c r="AU58" i="18"/>
  <c r="S76" i="5"/>
  <c r="S77" i="5" s="1"/>
  <c r="AU55" i="12"/>
  <c r="T76" i="5"/>
  <c r="T77" i="5" s="1"/>
  <c r="V76" i="5"/>
  <c r="V77" i="5" s="1"/>
  <c r="Z76" i="5"/>
  <c r="Z77" i="5" s="1"/>
  <c r="AT57" i="26" s="1"/>
  <c r="AS57" i="26" s="1"/>
  <c r="AR57" i="26" l="1"/>
  <c r="AQ57" i="26" s="1"/>
  <c r="AP57" i="26" s="1"/>
  <c r="AO57" i="26" s="1"/>
  <c r="AN57" i="26" s="1"/>
  <c r="AI57" i="26" s="1"/>
  <c r="AU58" i="26" s="1"/>
  <c r="AS64" i="26"/>
  <c r="AH57" i="26"/>
  <c r="AG57" i="26" s="1"/>
  <c r="AF57" i="26" s="1"/>
  <c r="AE57" i="26" s="1"/>
  <c r="AD57" i="26" s="1"/>
  <c r="AC57" i="26" s="1"/>
  <c r="Z57" i="26" s="1"/>
  <c r="X57" i="26" s="1"/>
  <c r="V57" i="26" s="1"/>
  <c r="U57" i="26" s="1"/>
  <c r="T57" i="26" s="1"/>
  <c r="S57" i="26" s="1"/>
  <c r="R57" i="26" s="1"/>
  <c r="Q57" i="26" s="1"/>
  <c r="P57" i="2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Banin Fatima</author>
  </authors>
  <commentList>
    <comment ref="T18" authorId="0" shapeId="0" xr:uid="{B325765C-F24D-440D-A39D-C501CEE675A4}">
      <text>
        <r>
          <rPr>
            <b/>
            <sz val="9"/>
            <color indexed="81"/>
            <rFont val="Tahoma"/>
            <family val="2"/>
          </rPr>
          <t>Banin Fatima:</t>
        </r>
        <r>
          <rPr>
            <sz val="9"/>
            <color indexed="81"/>
            <rFont val="Tahoma"/>
            <family val="2"/>
          </rPr>
          <t xml:space="preserve">
he requested not to deduct this month, his deductions will continue from may 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<sst xmlns="http://schemas.openxmlformats.org/spreadsheetml/2006/main" count="2165" uniqueCount="596">
  <si>
    <t>Payroll</t>
  </si>
  <si>
    <t>Sr.No</t>
  </si>
  <si>
    <t>Emp Code</t>
  </si>
  <si>
    <t>Employee Name (CNIC)</t>
  </si>
  <si>
    <t>Department</t>
  </si>
  <si>
    <t>Designation</t>
  </si>
  <si>
    <t>Status</t>
  </si>
  <si>
    <t>Gross Salary</t>
  </si>
  <si>
    <t>Basic Salary</t>
  </si>
  <si>
    <t>H.Rent All</t>
  </si>
  <si>
    <t>Ut. All</t>
  </si>
  <si>
    <t>Conv. All</t>
  </si>
  <si>
    <t>Gross salary</t>
  </si>
  <si>
    <t>Bonus/Incentive/Reimbursemet</t>
  </si>
  <si>
    <t>No.Extra Days</t>
  </si>
  <si>
    <t>Amount Ex. Days</t>
  </si>
  <si>
    <t>Deduction absent Days</t>
  </si>
  <si>
    <t>No. of Ded Hours</t>
  </si>
  <si>
    <t>Ded Amt Hrs</t>
  </si>
  <si>
    <t>Net Gross</t>
  </si>
  <si>
    <t>Tax</t>
  </si>
  <si>
    <t>Advance</t>
  </si>
  <si>
    <t>Loan</t>
  </si>
  <si>
    <t>Net Pay</t>
  </si>
  <si>
    <t>Bank Name</t>
  </si>
  <si>
    <t>AC Number</t>
  </si>
  <si>
    <t>Cash</t>
  </si>
  <si>
    <t>Hold</t>
  </si>
  <si>
    <t>International Sales Executive</t>
  </si>
  <si>
    <t>BD</t>
  </si>
  <si>
    <t>NP</t>
  </si>
  <si>
    <t>Nadeem Akhtar</t>
  </si>
  <si>
    <t>Sales</t>
  </si>
  <si>
    <t>Namrah Dawood</t>
  </si>
  <si>
    <t>Procurrement Executive</t>
  </si>
  <si>
    <t>GIT</t>
  </si>
  <si>
    <t>PORTAL</t>
  </si>
  <si>
    <t>P</t>
  </si>
  <si>
    <t>HR</t>
  </si>
  <si>
    <t>IT</t>
  </si>
  <si>
    <t>Data Analysis</t>
  </si>
  <si>
    <t>Muhammad Waleed Hassan</t>
  </si>
  <si>
    <t>Haseeb Akhter</t>
  </si>
  <si>
    <t>Fazeel Saleem</t>
  </si>
  <si>
    <t>Azmeer Sheikh</t>
  </si>
  <si>
    <t>Ebad Qureshi</t>
  </si>
  <si>
    <t>Umair Kaim Khani</t>
  </si>
  <si>
    <t>Amanullah</t>
  </si>
  <si>
    <t>Administration</t>
  </si>
  <si>
    <t>Office Boy</t>
  </si>
  <si>
    <t>Accounts</t>
  </si>
  <si>
    <t>Wasif Azhar</t>
  </si>
  <si>
    <t>Choudhary Hassan Azmat</t>
  </si>
  <si>
    <t>-</t>
  </si>
  <si>
    <t>Farrukh Naqvi</t>
  </si>
  <si>
    <t>Muhammad Mubashir</t>
  </si>
  <si>
    <t>Procurement</t>
  </si>
  <si>
    <t>HW</t>
  </si>
  <si>
    <t>BRAND</t>
  </si>
  <si>
    <t>ALL</t>
  </si>
  <si>
    <t>Trainee</t>
  </si>
  <si>
    <t>DD</t>
  </si>
  <si>
    <t xml:space="preserve">Assiatant Manager Accounts </t>
  </si>
  <si>
    <t>Marketing</t>
  </si>
  <si>
    <t>Project Management</t>
  </si>
  <si>
    <t>Project Coordinator</t>
  </si>
  <si>
    <t>MCS</t>
  </si>
  <si>
    <t>DISAPPROVED  Absent Days</t>
  </si>
  <si>
    <t>CURRENT STATUS</t>
  </si>
  <si>
    <t>CT</t>
  </si>
  <si>
    <t>Hourly Rate</t>
  </si>
  <si>
    <t>18/1/2021</t>
  </si>
  <si>
    <t>Khawaja Muhammad Ali</t>
  </si>
  <si>
    <t>EOBI</t>
  </si>
  <si>
    <t>Ahsan Tariq</t>
  </si>
  <si>
    <t>Khawar Qureshi</t>
  </si>
  <si>
    <t>Muhammad Ibtehaj Ali Haider</t>
  </si>
  <si>
    <t>Fatima Hasan</t>
  </si>
  <si>
    <t>Tajwar Saleem</t>
  </si>
  <si>
    <t>24/5/2021</t>
  </si>
  <si>
    <t>Kamran Mustafa</t>
  </si>
  <si>
    <t>Name</t>
  </si>
  <si>
    <t>Jagdesh</t>
  </si>
  <si>
    <t>DOJ (DD/MM/Y)</t>
  </si>
  <si>
    <t>Manager Accounts</t>
  </si>
  <si>
    <t>Muhammad Farooq Khan</t>
  </si>
  <si>
    <t>No. of Emp.</t>
  </si>
  <si>
    <t>Brand</t>
  </si>
  <si>
    <t>Bonus/ Incentive/Reimbursemet</t>
  </si>
  <si>
    <t>Deduction Absent Days</t>
  </si>
  <si>
    <t>Eobi</t>
  </si>
  <si>
    <t>From Samba</t>
  </si>
  <si>
    <t>Cheque</t>
  </si>
  <si>
    <t>IBFT</t>
  </si>
  <si>
    <t>Total</t>
  </si>
  <si>
    <t>DESGIN</t>
  </si>
  <si>
    <t>HARDWARE</t>
  </si>
  <si>
    <t>Support</t>
  </si>
  <si>
    <t>Bulk Devices UK</t>
  </si>
  <si>
    <t>Gracile IT</t>
  </si>
  <si>
    <t>Increment</t>
  </si>
  <si>
    <t>Habib Bank Limited</t>
  </si>
  <si>
    <t>0017-79008145-03</t>
  </si>
  <si>
    <t>0017-79008158-03</t>
  </si>
  <si>
    <t>0017-79008162-03</t>
  </si>
  <si>
    <t>0017-79008182-03</t>
  </si>
  <si>
    <t>0017-79008153-03</t>
  </si>
  <si>
    <t>0017-79008282-03</t>
  </si>
  <si>
    <t>0017-79008339-03</t>
  </si>
  <si>
    <t>CNIC</t>
  </si>
  <si>
    <t>Mubashir</t>
  </si>
  <si>
    <t>Account Title</t>
  </si>
  <si>
    <t>HBL</t>
  </si>
  <si>
    <t>Samba</t>
  </si>
  <si>
    <t>Debit</t>
  </si>
  <si>
    <t>Credit</t>
  </si>
  <si>
    <t>Dr</t>
  </si>
  <si>
    <t>Salary Expense</t>
  </si>
  <si>
    <t>Cr</t>
  </si>
  <si>
    <t>BSD TECHNOLOGIES</t>
  </si>
  <si>
    <t>Samba Bank Limited</t>
  </si>
  <si>
    <t>Salaries Voucher</t>
  </si>
  <si>
    <t xml:space="preserve">LOAN STATUS </t>
  </si>
  <si>
    <t>EMPLOYEE NAME</t>
  </si>
  <si>
    <t>LOAIN AMOUNT</t>
  </si>
  <si>
    <t>TAKEN ON (DD/MM/YY)</t>
  </si>
  <si>
    <t>AMOUNT RETURNED</t>
  </si>
  <si>
    <t>BALANCE AMOUNT</t>
  </si>
  <si>
    <t>Farrukh</t>
  </si>
  <si>
    <t>Talha Muzaffar</t>
  </si>
  <si>
    <t>25/1/2021</t>
  </si>
  <si>
    <t>Nabil</t>
  </si>
  <si>
    <t>Subhan</t>
  </si>
  <si>
    <t>16/12/2020</t>
  </si>
  <si>
    <t>15/2/2021</t>
  </si>
  <si>
    <t>24/3/2021</t>
  </si>
  <si>
    <t>Waqas Naik</t>
  </si>
  <si>
    <t>17/4/2021</t>
  </si>
  <si>
    <t>Bilal (Office Boy)</t>
  </si>
  <si>
    <t>15/6/2021</t>
  </si>
  <si>
    <t>17/7/2021</t>
  </si>
  <si>
    <t>Azmeer</t>
  </si>
  <si>
    <t>Badar Bilal</t>
  </si>
  <si>
    <t>Unaib Hussain</t>
  </si>
  <si>
    <t>27/8/2021</t>
  </si>
  <si>
    <t>Meezan Bank Limited</t>
  </si>
  <si>
    <t>Production</t>
  </si>
  <si>
    <t>Production - Design</t>
  </si>
  <si>
    <t>Production - Video</t>
  </si>
  <si>
    <t>Production - Web</t>
  </si>
  <si>
    <t>Unit - I</t>
  </si>
  <si>
    <t>Design - Production</t>
  </si>
  <si>
    <t>BSD Technologies  (Hardware Division)</t>
  </si>
  <si>
    <t>BSD Technologies (Design Division)</t>
  </si>
  <si>
    <t>(USD)</t>
  </si>
  <si>
    <t>(PKR)</t>
  </si>
  <si>
    <t>Design - Portal</t>
  </si>
  <si>
    <t>Affan Khan</t>
  </si>
  <si>
    <t>Muhammad Shahroz</t>
  </si>
  <si>
    <t>SUPPORT</t>
  </si>
  <si>
    <t>Advance / Car Rentals</t>
  </si>
  <si>
    <t>Khawar</t>
  </si>
  <si>
    <t>BSD Technologies  (Support Division)</t>
  </si>
  <si>
    <t>Obaid Raza</t>
  </si>
  <si>
    <t>Eraj Khalid</t>
  </si>
  <si>
    <t>Sales/CSE</t>
  </si>
  <si>
    <t>BULK DEVICES</t>
  </si>
  <si>
    <t>0017-79008521-03</t>
  </si>
  <si>
    <t>Aijaz</t>
  </si>
  <si>
    <t>BNS</t>
  </si>
  <si>
    <t>Gross Salary Before Vehicle Allowance</t>
  </si>
  <si>
    <t>Name Title= Muhammad Rehan</t>
  </si>
  <si>
    <t>Bank Name= JS</t>
  </si>
  <si>
    <t>ACCOUNT NUMBER: 1251641</t>
  </si>
  <si>
    <t>MY IBAN NUMBER: 753557259504000000125164</t>
  </si>
  <si>
    <t>My Phone Number: 03048352385</t>
  </si>
  <si>
    <t>Tajwar</t>
  </si>
  <si>
    <t>Syed Shabbhi Haider</t>
  </si>
  <si>
    <t>Shahbaz Khan</t>
  </si>
  <si>
    <t>Withholding tax</t>
  </si>
  <si>
    <t>Vehicle Rent Payable</t>
  </si>
  <si>
    <t>Advance from Salary</t>
  </si>
  <si>
    <t>Loan to Employee</t>
  </si>
  <si>
    <t>Portal</t>
  </si>
  <si>
    <t>Salaries on Hold</t>
  </si>
  <si>
    <t>HARDWARE SUPPORT</t>
  </si>
  <si>
    <t>GRACILE IT</t>
  </si>
  <si>
    <t>DESIGN - PRODUCTION</t>
  </si>
  <si>
    <t>DESIGN - PORTAL</t>
  </si>
  <si>
    <t>Title of Account</t>
  </si>
  <si>
    <t>Dr / Cr</t>
  </si>
  <si>
    <t>Date</t>
  </si>
  <si>
    <t>HIDE</t>
  </si>
  <si>
    <t>Prepared by</t>
  </si>
  <si>
    <t>Approved by</t>
  </si>
  <si>
    <t>BSD Technologies - Master</t>
  </si>
  <si>
    <t>Payments</t>
  </si>
  <si>
    <t>Humayoun Khan</t>
  </si>
  <si>
    <t>Rida Khawaja</t>
  </si>
  <si>
    <t>Syed Sumair Hussain</t>
  </si>
  <si>
    <t>New Joining</t>
  </si>
  <si>
    <t>Last Month</t>
  </si>
  <si>
    <t>Ameer Hamza</t>
  </si>
  <si>
    <t>Muhammad Junaid Khan</t>
  </si>
  <si>
    <t>Bonus/Incentive/ Reimbursemet</t>
  </si>
  <si>
    <t>Employee Name</t>
  </si>
  <si>
    <t>BSD Technologies Pvt Ltd</t>
  </si>
  <si>
    <t>Date Of Joining</t>
  </si>
  <si>
    <t>Date Of Resignation</t>
  </si>
  <si>
    <t>CNIC #</t>
  </si>
  <si>
    <t>42201-0755649-5</t>
  </si>
  <si>
    <t>Leave Counter</t>
  </si>
  <si>
    <t>January 2022 | December 2022</t>
  </si>
  <si>
    <t>Headers</t>
  </si>
  <si>
    <t>Amount</t>
  </si>
  <si>
    <t>Remarks</t>
  </si>
  <si>
    <t>House Rent</t>
  </si>
  <si>
    <t>Utility Allowance</t>
  </si>
  <si>
    <t>Conveyance Allowance</t>
  </si>
  <si>
    <t>Increament</t>
  </si>
  <si>
    <t>Leave Encashment</t>
  </si>
  <si>
    <t>Project/Cash allowance</t>
  </si>
  <si>
    <t>Yearly Bonus</t>
  </si>
  <si>
    <t>Arrears</t>
  </si>
  <si>
    <t>Total Gross Salary</t>
  </si>
  <si>
    <t>Income Tax Deduction</t>
  </si>
  <si>
    <t>on Gross</t>
  </si>
  <si>
    <t>Advance/Misc</t>
  </si>
  <si>
    <t>Absents</t>
  </si>
  <si>
    <t>EOBI contribution</t>
  </si>
  <si>
    <t>Total Net Deductions</t>
  </si>
  <si>
    <t>Total Net Salary</t>
  </si>
  <si>
    <t>Take Home</t>
  </si>
  <si>
    <t>Leave Statistics</t>
  </si>
  <si>
    <t>Comments</t>
  </si>
  <si>
    <t>Net leaves present</t>
  </si>
  <si>
    <t xml:space="preserve">Leaves carry forward </t>
  </si>
  <si>
    <t>Leaves availed for the month</t>
  </si>
  <si>
    <t>Absents for the month</t>
  </si>
  <si>
    <t>Leaves Remaining</t>
  </si>
  <si>
    <t xml:space="preserve"> Job Hours Statistics</t>
  </si>
  <si>
    <t>Hours</t>
  </si>
  <si>
    <t xml:space="preserve">Hours carried forward </t>
  </si>
  <si>
    <t>Total Hours Required for the month</t>
  </si>
  <si>
    <t xml:space="preserve">Total Effort Hours for the month </t>
  </si>
  <si>
    <t>Extra</t>
  </si>
  <si>
    <t>Precaution: Avoid altering and forging this document and the statistics provided. 
This is a computerized receipt and doesn't required any Signature or Stamp.</t>
  </si>
  <si>
    <t>Probation</t>
  </si>
  <si>
    <t>Faraz Hussain</t>
  </si>
  <si>
    <t>0583-79011770-03</t>
  </si>
  <si>
    <t>42201-7208948-9</t>
  </si>
  <si>
    <t>42101-4961812-5</t>
  </si>
  <si>
    <t>42201-3746106-1</t>
  </si>
  <si>
    <t>44101-9793357-1</t>
  </si>
  <si>
    <t>42301-6647406-1</t>
  </si>
  <si>
    <t>42101-7702531-1</t>
  </si>
  <si>
    <t>42201-8365639-3</t>
  </si>
  <si>
    <t>42201-0463606-9</t>
  </si>
  <si>
    <t>42201-9210659-4</t>
  </si>
  <si>
    <t>42201-1039448-6</t>
  </si>
  <si>
    <t>42201-0590958-3</t>
  </si>
  <si>
    <t>42101-9384181-3</t>
  </si>
  <si>
    <t>42201-9040498-9</t>
  </si>
  <si>
    <t>42201-9303716-3</t>
  </si>
  <si>
    <t>Khawaja</t>
  </si>
  <si>
    <t>Muhammad Umair</t>
  </si>
  <si>
    <t>M Ebad Qureshi</t>
  </si>
  <si>
    <t>M Farooq Khan</t>
  </si>
  <si>
    <t>NJ</t>
  </si>
  <si>
    <t>Mohammad Uzair</t>
  </si>
  <si>
    <t>Sammad</t>
  </si>
  <si>
    <t>FOREX</t>
  </si>
  <si>
    <t>Net Gross
(PKR)</t>
  </si>
  <si>
    <t>Net Gross
(USD)</t>
  </si>
  <si>
    <t>Forex</t>
  </si>
  <si>
    <t>Laiba</t>
  </si>
  <si>
    <t>Asif Ahmed</t>
  </si>
  <si>
    <t>ITN</t>
  </si>
  <si>
    <t>Amir Sachwani</t>
  </si>
  <si>
    <t>Syed Ali Abbas Kazmi</t>
  </si>
  <si>
    <t>Rehman Latif</t>
  </si>
  <si>
    <t>Muhammad Irfan</t>
  </si>
  <si>
    <t>Standard Chartered Bank</t>
  </si>
  <si>
    <t>Ammanullah</t>
  </si>
  <si>
    <t>Region</t>
  </si>
  <si>
    <t>Local</t>
  </si>
  <si>
    <t>US</t>
  </si>
  <si>
    <t>UK</t>
  </si>
  <si>
    <t>AFFAN KHAN</t>
  </si>
  <si>
    <t>0017-79008738-03</t>
  </si>
  <si>
    <t>0017-79008735-03</t>
  </si>
  <si>
    <t>HUMAYOUN KHAN</t>
  </si>
  <si>
    <t>ERAJ KHALID</t>
  </si>
  <si>
    <t>0017-79008733-03</t>
  </si>
  <si>
    <t>0017-79008173-03</t>
  </si>
  <si>
    <t>32404-9685630-7</t>
  </si>
  <si>
    <t>Aamir Sachwani</t>
  </si>
  <si>
    <t>S. Abbas Ali Kazmi</t>
  </si>
  <si>
    <t>Salary Slip | September 2022</t>
  </si>
  <si>
    <t>Total Hours Given</t>
  </si>
  <si>
    <t>Total Hours Required</t>
  </si>
  <si>
    <t>Excess / (Deficit)</t>
  </si>
  <si>
    <t>Leaves Adjusted</t>
  </si>
  <si>
    <t>Leaves Deduction</t>
  </si>
  <si>
    <t>Farooq</t>
  </si>
  <si>
    <t>Unaib</t>
  </si>
  <si>
    <t>Obaid</t>
  </si>
  <si>
    <t>Umair</t>
  </si>
  <si>
    <t>Rida</t>
  </si>
  <si>
    <t>Ebad</t>
  </si>
  <si>
    <t>Waqas</t>
  </si>
  <si>
    <t>Fatima</t>
  </si>
  <si>
    <t>Eraj</t>
  </si>
  <si>
    <t>Wasif</t>
  </si>
  <si>
    <t>Nadeem</t>
  </si>
  <si>
    <t>Laraib</t>
  </si>
  <si>
    <t>Sumair</t>
  </si>
  <si>
    <t>Shoaib Malik</t>
  </si>
  <si>
    <t>Kamran</t>
  </si>
  <si>
    <t>Enter Employee Code</t>
  </si>
  <si>
    <t>CHECK</t>
  </si>
  <si>
    <t>Tauseef Ahmed</t>
  </si>
  <si>
    <t>Tayabba Jaffar</t>
  </si>
  <si>
    <t xml:space="preserve">laraib </t>
  </si>
  <si>
    <t>Laiba Farooq</t>
  </si>
  <si>
    <t>Syed Mustufa Zaidi</t>
  </si>
  <si>
    <t>Usama Ahmed</t>
  </si>
  <si>
    <t>Abdullah Bin Farrukh</t>
  </si>
  <si>
    <t>Muhammad Farooq</t>
  </si>
  <si>
    <t>Waqas Arshad Naiq</t>
  </si>
  <si>
    <t>UP</t>
  </si>
  <si>
    <t>AL</t>
  </si>
  <si>
    <t>SL</t>
  </si>
  <si>
    <t>CL</t>
  </si>
  <si>
    <t>Unpaid Leaves</t>
  </si>
  <si>
    <t>AL Remain</t>
  </si>
  <si>
    <t>AL Availed</t>
  </si>
  <si>
    <t>AL Allotted</t>
  </si>
  <si>
    <t>CL Remain</t>
  </si>
  <si>
    <t>CL Availed</t>
  </si>
  <si>
    <t>CL Allotted</t>
  </si>
  <si>
    <t>TL</t>
  </si>
  <si>
    <t>U.P</t>
  </si>
  <si>
    <t>LEAVES CALCULATION</t>
  </si>
  <si>
    <t>YEAR 2022</t>
  </si>
  <si>
    <t>EMP CODE</t>
  </si>
  <si>
    <t>left/terminated</t>
  </si>
  <si>
    <t>probation</t>
  </si>
  <si>
    <t>Casual - Sick - Annual - Unpaid Offs</t>
  </si>
  <si>
    <t>Leaves remaining at the EOM</t>
  </si>
  <si>
    <t>Leaves availed during the month</t>
  </si>
  <si>
    <t>Total absents including Unpaid</t>
  </si>
  <si>
    <t>Leaves remaining at the SOM</t>
  </si>
  <si>
    <t>Muhammad Faisal</t>
  </si>
  <si>
    <t>42201-5643314-5</t>
  </si>
  <si>
    <t>Fleet Manager</t>
  </si>
  <si>
    <t>S.No</t>
  </si>
  <si>
    <t>Emp. Code.</t>
  </si>
  <si>
    <t>Leaves To be dudected</t>
  </si>
  <si>
    <t>Hours To be dudected</t>
  </si>
  <si>
    <t>M.Mubashir</t>
  </si>
  <si>
    <t>M.Irfan</t>
  </si>
  <si>
    <t>Ok</t>
  </si>
  <si>
    <t>Mustufa</t>
  </si>
  <si>
    <t>Not entitled for leaves</t>
  </si>
  <si>
    <t>Half day salary will be unpaid</t>
  </si>
  <si>
    <t>No leaves remaing 1.5 days unpaid</t>
  </si>
  <si>
    <t>M.Shahroz</t>
  </si>
  <si>
    <t>2 from paid and 1 Unpaid no leaves balance</t>
  </si>
  <si>
    <t>Shabhi</t>
  </si>
  <si>
    <t>Shahbaz</t>
  </si>
  <si>
    <t>unpaid no leave balance available</t>
  </si>
  <si>
    <t>Humayun</t>
  </si>
  <si>
    <t>M.Uzair</t>
  </si>
  <si>
    <t>Samad</t>
  </si>
  <si>
    <t>3.5 paid and 1.5 Unpaid</t>
  </si>
  <si>
    <t>M.Waleed</t>
  </si>
  <si>
    <t>4.5 paid and 10.5 Unpaid</t>
  </si>
  <si>
    <t>Usama</t>
  </si>
  <si>
    <t>Only Short hours will be deducted</t>
  </si>
  <si>
    <t>1 Day Leave Adjustment</t>
  </si>
  <si>
    <t>5 Days or Short hours deduction</t>
  </si>
  <si>
    <t xml:space="preserve">1 Day Casual Leave </t>
  </si>
  <si>
    <t>CH. Hassan</t>
  </si>
  <si>
    <t>1 Day Casual Leave for short hours</t>
  </si>
  <si>
    <t>2 days Deductions</t>
  </si>
  <si>
    <t>2 Days Leave Adjustment</t>
  </si>
  <si>
    <t>2 Days Leave Adjustment for short hours</t>
  </si>
  <si>
    <t>Faraz</t>
  </si>
  <si>
    <t>M. Ibtihaj</t>
  </si>
  <si>
    <t>10 paid and 5 unpaid</t>
  </si>
  <si>
    <t>Junaid Khan</t>
  </si>
  <si>
    <t>0017-79008732-03</t>
  </si>
  <si>
    <t>Samad Khan</t>
  </si>
  <si>
    <t>ITNHUB Ltd</t>
  </si>
  <si>
    <t>Direct</t>
  </si>
  <si>
    <t>Indirect</t>
  </si>
  <si>
    <t>45203-6460366-1</t>
  </si>
  <si>
    <t>0017-79008816-03</t>
  </si>
  <si>
    <t>ASIF AHMED</t>
  </si>
  <si>
    <t>Muhammad Haris Khan</t>
  </si>
  <si>
    <t>Already Paid</t>
  </si>
  <si>
    <t>Remaining</t>
  </si>
  <si>
    <t>Waniya</t>
  </si>
  <si>
    <t>M. Irfan</t>
  </si>
  <si>
    <t>EOBI Employers' Contribution</t>
  </si>
  <si>
    <t>EOBI Payable - Employee Contribution</t>
  </si>
  <si>
    <t>Salary Expense - EOBI</t>
  </si>
  <si>
    <t>0017-79008896-03</t>
  </si>
  <si>
    <t>Bank Al Habib</t>
  </si>
  <si>
    <t>Wania Qureshi</t>
  </si>
  <si>
    <t>Hussnain ali farooqi</t>
  </si>
  <si>
    <t>Electrician</t>
  </si>
  <si>
    <t>Hareem Fatima</t>
  </si>
  <si>
    <t>Payment Status</t>
  </si>
  <si>
    <t>Balance</t>
  </si>
  <si>
    <t>01 Nov 2020 / 12 Sep 2022</t>
  </si>
  <si>
    <t xml:space="preserve">Support Engineer </t>
  </si>
  <si>
    <t>Farhad Muhammad Khan</t>
  </si>
  <si>
    <t>PK40MEZN0099090107351285</t>
  </si>
  <si>
    <t>Ali Osama</t>
  </si>
  <si>
    <t>01750100943393</t>
  </si>
  <si>
    <t>date of last increment</t>
  </si>
  <si>
    <t xml:space="preserve">last incremnet </t>
  </si>
  <si>
    <t># Months Since Last Increment</t>
  </si>
  <si>
    <t>01994613601</t>
  </si>
  <si>
    <t>Muhammad Haris</t>
  </si>
  <si>
    <t>Syed Sumair</t>
  </si>
  <si>
    <t>Muhammad Khawar</t>
  </si>
  <si>
    <t>Salman</t>
  </si>
  <si>
    <t>Muhammad Yousuf</t>
  </si>
  <si>
    <t>Wkg Days (Local)</t>
  </si>
  <si>
    <t>Wkg Days (Hardware UK)</t>
  </si>
  <si>
    <t>Wkg Days (Design US)</t>
  </si>
  <si>
    <t>Wkg Days (Hardware US)</t>
  </si>
  <si>
    <t>SEO Manager</t>
  </si>
  <si>
    <t>Apr 2023</t>
  </si>
  <si>
    <t>42101-2818484-9</t>
  </si>
  <si>
    <t>Muhammad yousuf</t>
  </si>
  <si>
    <t>Reporting Manager</t>
  </si>
  <si>
    <t>Wahaj Qureshi</t>
  </si>
  <si>
    <t>Farooq Khan</t>
  </si>
  <si>
    <t>Umer Shahjahan</t>
  </si>
  <si>
    <t>Husnain</t>
  </si>
  <si>
    <t>AZMEER SHAIKH</t>
  </si>
  <si>
    <t>0017-79009071-03</t>
  </si>
  <si>
    <t>42201-0578753-5</t>
  </si>
  <si>
    <t>JAHANGIR HUSSAIN</t>
  </si>
  <si>
    <t>2443-79014079-03</t>
  </si>
  <si>
    <t>0017-79009066-03</t>
  </si>
  <si>
    <t>0017-79008955-03</t>
  </si>
  <si>
    <t>Arrears/Incentive</t>
  </si>
  <si>
    <t>Short Time</t>
  </si>
  <si>
    <t>42101-4708804-9</t>
  </si>
  <si>
    <t>Nahyan Hussain</t>
  </si>
  <si>
    <t>Fahad Naveed</t>
  </si>
  <si>
    <t>12427949370603</t>
  </si>
  <si>
    <t>Fahad naveed</t>
  </si>
  <si>
    <t>99530105424627</t>
  </si>
  <si>
    <t>Asad Hussain</t>
  </si>
  <si>
    <t>0830-79009967-03</t>
  </si>
  <si>
    <t>42401-0634733-9</t>
  </si>
  <si>
    <t>34603-4887839-9</t>
  </si>
  <si>
    <t>BSD Technologies - Salaries &lt;= 35K</t>
  </si>
  <si>
    <t>Blitz Network Solutions</t>
  </si>
  <si>
    <t>Uzair Ansari</t>
  </si>
  <si>
    <t>NAYAPAY</t>
  </si>
  <si>
    <t>03491838351</t>
  </si>
  <si>
    <t>Muhammad Huzaifa Haleem</t>
  </si>
  <si>
    <t>ABDUL HADI RAVASIA</t>
  </si>
  <si>
    <t>PK88MEZN0099180107164710</t>
  </si>
  <si>
    <t>Usman</t>
  </si>
  <si>
    <t>!TRNS</t>
  </si>
  <si>
    <t>TRNSID</t>
  </si>
  <si>
    <t>TRNSTYPE</t>
  </si>
  <si>
    <t>DATE</t>
  </si>
  <si>
    <t>ACCNT</t>
  </si>
  <si>
    <t>CLASS</t>
  </si>
  <si>
    <t>AMOUNT</t>
  </si>
  <si>
    <t>DOCNUM</t>
  </si>
  <si>
    <t>MEMO</t>
  </si>
  <si>
    <t>!SPL</t>
  </si>
  <si>
    <t>SPLID</t>
  </si>
  <si>
    <t>!ENDTRNS</t>
  </si>
  <si>
    <t>TRNS</t>
  </si>
  <si>
    <t>GENERAL JOURNAL</t>
  </si>
  <si>
    <t>Payroll Expenses:Salary Expense</t>
  </si>
  <si>
    <t>Shared</t>
  </si>
  <si>
    <t>Support Staff Salaries for the m/o Dec 2023</t>
  </si>
  <si>
    <t>SPL</t>
  </si>
  <si>
    <t>WHT Liability - Staff</t>
  </si>
  <si>
    <t>EOBI Payable</t>
  </si>
  <si>
    <t>Salaries Payable</t>
  </si>
  <si>
    <t>Hardware:HW Support</t>
  </si>
  <si>
    <t>Hardware Support Staff Salaries for the m/o Dec 2023</t>
  </si>
  <si>
    <t>Hardware:BD</t>
  </si>
  <si>
    <t>BDUK Direct Staff Salaries for the m/o Dec 2023</t>
  </si>
  <si>
    <t>Hardware:GIT</t>
  </si>
  <si>
    <t>GracileIT Direct Staff Salaries for the m/o Dec 2023</t>
  </si>
  <si>
    <t>Hardware:ITNHUB</t>
  </si>
  <si>
    <t>ITNHub Direct Staff Salaries for the m/o Dec 2023</t>
  </si>
  <si>
    <t>Hardware:LHR</t>
  </si>
  <si>
    <t>Lahore Staff Salaries for the m/o Dec 2023</t>
  </si>
  <si>
    <t>Design:DD Shared</t>
  </si>
  <si>
    <t>Design Support Salaries for the m/o Dec 2023</t>
  </si>
  <si>
    <t>Design:Portal - Umer</t>
  </si>
  <si>
    <t>Design Portal Direct Salaries for the m/o Dec 2023</t>
  </si>
  <si>
    <t>ENDTRNS</t>
  </si>
  <si>
    <t>EOBI Contribution (Employer)</t>
  </si>
  <si>
    <t>Optome</t>
  </si>
  <si>
    <t>Transworld Home</t>
  </si>
  <si>
    <t>DIB</t>
  </si>
  <si>
    <t>Available Balance</t>
  </si>
  <si>
    <t>0017-79009274-03</t>
  </si>
  <si>
    <t>03313102701</t>
  </si>
  <si>
    <t>Abdul Sami Kamali</t>
  </si>
  <si>
    <t>On Hold</t>
  </si>
  <si>
    <t>DISBURSEMENT DETAIL</t>
  </si>
  <si>
    <t>SYED AJAZ HUSSAIN ZAIDI</t>
  </si>
  <si>
    <t>Aun Zaidi</t>
  </si>
  <si>
    <t>42101-0956661-3</t>
  </si>
  <si>
    <t>Abdul Hadi Ravasia</t>
  </si>
  <si>
    <t>Accounts Executive</t>
  </si>
  <si>
    <t>31304-0957356-1</t>
  </si>
  <si>
    <t>Arsalan Ahmed</t>
  </si>
  <si>
    <t>Moin Shaikh</t>
  </si>
  <si>
    <t>Taha Ahmed</t>
  </si>
  <si>
    <t>SEO Intern</t>
  </si>
  <si>
    <t>Syed Shabi ul Hasan Zaidi</t>
  </si>
  <si>
    <t>10680048013966014</t>
  </si>
  <si>
    <t>Syed Shabi Ul Hasan Zaidi</t>
  </si>
  <si>
    <t>MOHAMMAD MOIN UDDIN</t>
  </si>
  <si>
    <t>PK26MEZN0001430109041892</t>
  </si>
  <si>
    <t>Procurement Executive</t>
  </si>
  <si>
    <t>Manager Procurement</t>
  </si>
  <si>
    <t>Total3</t>
  </si>
  <si>
    <t>Difference</t>
  </si>
  <si>
    <t>Gross salary with Conveyance</t>
  </si>
  <si>
    <t>ITNHub Ltd</t>
  </si>
  <si>
    <t>Design Portal</t>
  </si>
  <si>
    <t>Total Expense</t>
  </si>
  <si>
    <t>Dubai Islamic Bank</t>
  </si>
  <si>
    <t>PK30DUIB0000000808360001</t>
  </si>
  <si>
    <t>Usman Amin</t>
  </si>
  <si>
    <t>HBL to HBL</t>
  </si>
  <si>
    <t>0445-79012790-99</t>
  </si>
  <si>
    <t>35202-7785641-9</t>
  </si>
  <si>
    <t>Muhammad ADA</t>
  </si>
  <si>
    <t>Zameer Ahmed Usmani</t>
  </si>
  <si>
    <t>MCB Bank</t>
  </si>
  <si>
    <t>PK27MUCB0006802010077407</t>
  </si>
  <si>
    <t>08780017874001</t>
  </si>
  <si>
    <t>January 2024 | December 2024</t>
  </si>
  <si>
    <t>Incr. Date</t>
  </si>
  <si>
    <t>Incr. Amount</t>
  </si>
  <si>
    <t>Incr. Months</t>
  </si>
  <si>
    <t>To be Disbursed</t>
  </si>
  <si>
    <t>Maham Khan</t>
  </si>
  <si>
    <t>Muhammad Yousha</t>
  </si>
  <si>
    <t>PK70HABB0022567901806303</t>
  </si>
  <si>
    <t>Muhammad Ali</t>
  </si>
  <si>
    <t>Shahmeer Shaikh</t>
  </si>
  <si>
    <t>PK08MEZN0001130105931538</t>
  </si>
  <si>
    <t>Kashan Ahmed</t>
  </si>
  <si>
    <t>0017-79008990-03</t>
  </si>
  <si>
    <t>0017-79009306-03</t>
  </si>
  <si>
    <t>PK62FAYS3573383000001097</t>
  </si>
  <si>
    <t>Faysal Bank Limited</t>
  </si>
  <si>
    <t>Column4</t>
  </si>
  <si>
    <t>Payroll April 2024</t>
  </si>
  <si>
    <t>1st Batch
HBL to HBL
08 May 2024</t>
  </si>
  <si>
    <t>2nd Batch
IBFT
08 May 2024</t>
  </si>
  <si>
    <t>3rd Batch
Cash
08 May 2024</t>
  </si>
  <si>
    <t>4th Batch
HBL to HBL
10 May 2022</t>
  </si>
  <si>
    <t>5th Batch
IBFT
10 May 2022</t>
  </si>
  <si>
    <t>Paid</t>
  </si>
  <si>
    <t>April</t>
  </si>
  <si>
    <t>Ibtihaj Ali Haider</t>
  </si>
  <si>
    <t>Marketing - SEO</t>
  </si>
  <si>
    <t>0017-79008290-03</t>
  </si>
  <si>
    <t>42201-8991394-3</t>
  </si>
  <si>
    <t>42301-6418406-5</t>
  </si>
  <si>
    <t>42301-1466430-6</t>
  </si>
  <si>
    <t>42201-9587377-5</t>
  </si>
  <si>
    <t>42000-5277363-3</t>
  </si>
  <si>
    <t>42101-6994069-3</t>
  </si>
  <si>
    <t>42101-2622969-7</t>
  </si>
  <si>
    <t>42201-2352763-3</t>
  </si>
  <si>
    <t>42101-5066364-1</t>
  </si>
  <si>
    <t>42501-9444333-5</t>
  </si>
  <si>
    <t>42101-2904934-9</t>
  </si>
  <si>
    <t>42201-9133325-0</t>
  </si>
  <si>
    <t>42101-6288236-7</t>
  </si>
  <si>
    <t>42201-75434755-2</t>
  </si>
  <si>
    <t>42201-9177582-9</t>
  </si>
  <si>
    <t>Salary Slip | April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</si>
</sst>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 &quot;#,##0&quot; &quot;;&quot;-&quot;#,##0&quot; &quot;;&quot; -&quot;00&quot; &quot;;&quot; &quot;@&quot; &quot;"/>
    <numFmt numFmtId="165" formatCode="&quot; &quot;#,##0.00&quot; &quot;;&quot;-&quot;#,##0.00&quot; &quot;;&quot; -&quot;00&quot; &quot;;&quot; &quot;@&quot; &quot;"/>
    <numFmt numFmtId="166" formatCode="_(* #,##0_);_(* \(#,##0\);_(* &quot;-&quot;??_);_(@_)"/>
    <numFmt numFmtId="167" formatCode="_-* #,##0_-;\(#,##0\)_-;_-* &quot;-&quot;_-;_-@_-"/>
    <numFmt numFmtId="168" formatCode="_-* #,##0_-;\-* #,##0_-;_-* &quot;-&quot;??_-;_-@_-"/>
    <numFmt numFmtId="169" formatCode="[$-409]d/mmm/yy;@"/>
    <numFmt numFmtId="170" formatCode="_(* #,##0_);_(* \(#,##0\);_(* &quot;--&quot;_);_(@_)"/>
    <numFmt numFmtId="171" formatCode="0.000000%"/>
    <numFmt numFmtId="172" formatCode="[$-409]mmmm\ d\,\ yyyy;@"/>
    <numFmt numFmtId="173" formatCode="mmmm\-yyyy"/>
    <numFmt numFmtId="174" formatCode="[$-409]mmmm\-yy;@"/>
    <numFmt numFmtId="175" formatCode="_([$PKR]\ * #,##0.00_);_([$PKR]\ * \(#,##0.00\);_([$PKR]\ * &quot;-&quot;??_);_(@_)"/>
    <numFmt numFmtId="176" formatCode="_([$PKR]\ * #,##0_);_([$PKR]\ * \(#,##0\);_([$PKR]\ * &quot;-&quot;??_);_(@_)"/>
    <numFmt numFmtId="177" formatCode="_([$PKR]\ * #,##0_);_([$PKR]\ * \(#,##0\);_([$PKR]\ * &quot;-&quot;_);_(@_)"/>
    <numFmt numFmtId="178" formatCode="_(* #,##0.00_);_(* \(#,##0.00\);_(* &quot;--&quot;_);_(@_)"/>
    <numFmt numFmtId="179" formatCode="[$-409]dd/mmm/yy;@"/>
    <numFmt numFmtId="180" formatCode="_(&quot;$&quot;* #,##0_);_(&quot;$&quot;* \(#,##0\);_(&quot;$&quot;* &quot;-&quot;??_);_(@_)"/>
  </numFmts>
  <fonts count="70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Arial"/>
      <family val="2"/>
    </font>
    <font>
      <b/>
      <sz val="10"/>
      <color rgb="FFFF0000"/>
      <name val="Times New Roman"/>
      <family val="1"/>
    </font>
    <font>
      <sz val="11"/>
      <color theme="1"/>
      <name val="Calibri"/>
      <family val="2"/>
      <scheme val="minor"/>
    </font>
    <font>
      <b/>
      <sz val="20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Calibri"/>
      <family val="2"/>
      <scheme val="minor"/>
    </font>
    <font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sz val="12"/>
      <color theme="1"/>
      <name val="Times New Roman"/>
      <family val="1"/>
    </font>
    <font>
      <sz val="14"/>
      <color rgb="FFFF0000"/>
      <name val="Times New Roman"/>
      <family val="1"/>
    </font>
    <font>
      <sz val="11"/>
      <color theme="1"/>
      <name val="Times New Roman"/>
      <family val="1"/>
    </font>
    <font>
      <b/>
      <sz val="9"/>
      <name val="Arial Narrow"/>
      <family val="2"/>
    </font>
    <font>
      <sz val="9"/>
      <name val="Arial Narrow"/>
      <family val="2"/>
    </font>
    <font>
      <sz val="10"/>
      <color rgb="FF000000"/>
      <name val="Arial Narrow"/>
      <family val="2"/>
    </font>
    <font>
      <b/>
      <u/>
      <sz val="10"/>
      <color rgb="FF000000"/>
      <name val="Arial Narrow"/>
      <family val="2"/>
    </font>
    <font>
      <i/>
      <sz val="10"/>
      <color rgb="FF000000"/>
      <name val="Arial Narrow"/>
      <family val="2"/>
    </font>
    <font>
      <b/>
      <sz val="10"/>
      <color rgb="FF000000"/>
      <name val="Arial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b/>
      <i/>
      <sz val="10"/>
      <name val="Arial"/>
      <family val="2"/>
    </font>
    <font>
      <sz val="8"/>
      <name val="Arial"/>
      <family val="2"/>
    </font>
    <font>
      <b/>
      <sz val="11"/>
      <name val="Arial Narrow"/>
      <family val="2"/>
    </font>
    <font>
      <sz val="11"/>
      <name val="Arial Narrow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C00000"/>
      <name val="Calibri"/>
      <family val="2"/>
    </font>
    <font>
      <sz val="11"/>
      <color rgb="FFC00000"/>
      <name val="Calibri"/>
      <family val="2"/>
    </font>
    <font>
      <b/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Garamond"/>
      <family val="1"/>
    </font>
    <font>
      <sz val="11"/>
      <color theme="1"/>
      <name val="Garamond"/>
      <family val="1"/>
    </font>
    <font>
      <sz val="11"/>
      <color rgb="FFFF0000"/>
      <name val="Garamond"/>
      <family val="1"/>
    </font>
    <font>
      <sz val="14"/>
      <name val="Arial Narrow"/>
      <family val="2"/>
    </font>
    <font>
      <b/>
      <u/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rgb="FF0070C0"/>
      <name val="Times New Roman"/>
      <family val="1"/>
    </font>
    <font>
      <b/>
      <sz val="14"/>
      <name val="Arial Narrow"/>
      <family val="2"/>
    </font>
    <font>
      <b/>
      <sz val="13"/>
      <name val="Arial Narrow"/>
      <family val="2"/>
    </font>
    <font>
      <sz val="13"/>
      <name val="Arial Narrow"/>
      <family val="2"/>
    </font>
    <font>
      <sz val="13"/>
      <color theme="0"/>
      <name val="Arial Narrow"/>
      <family val="2"/>
    </font>
    <font>
      <b/>
      <sz val="16"/>
      <name val="Arial Narrow"/>
      <family val="2"/>
    </font>
    <font>
      <sz val="16"/>
      <name val="Arial Narrow"/>
      <family val="2"/>
    </font>
    <font>
      <b/>
      <sz val="11"/>
      <color rgb="FF000000"/>
      <name val="Times New Roman"/>
      <family val="1"/>
    </font>
    <font>
      <sz val="12"/>
      <name val="Arial Narrow"/>
      <family val="2"/>
    </font>
    <font>
      <sz val="11"/>
      <color rgb="FFFF3300"/>
      <name val="Arial Narrow"/>
      <family val="2"/>
    </font>
    <font>
      <sz val="8"/>
      <name val="Calibri"/>
      <family val="2"/>
    </font>
    <font>
      <sz val="18"/>
      <name val="Arial Narrow"/>
      <family val="2"/>
    </font>
    <font>
      <b/>
      <sz val="18"/>
      <name val="Arial Narrow"/>
      <family val="2"/>
    </font>
    <font>
      <b/>
      <sz val="9"/>
      <color rgb="FFFF0000"/>
      <name val="Arial Narrow"/>
      <family val="2"/>
    </font>
    <font>
      <b/>
      <sz val="9"/>
      <color rgb="FF0070C0"/>
      <name val="Arial Narrow"/>
      <family val="2"/>
    </font>
    <font>
      <sz val="10"/>
      <color theme="7" tint="0.39997558519241921"/>
      <name val="Arial Narrow"/>
      <family val="2"/>
    </font>
  </fonts>
  <fills count="24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7C80"/>
        <bgColor rgb="FFFF7C80"/>
      </patternFill>
    </fill>
    <fill>
      <patternFill patternType="solid">
        <fgColor rgb="FFFF6699"/>
        <bgColor rgb="FFFF6699"/>
      </patternFill>
    </fill>
    <fill>
      <patternFill patternType="solid">
        <fgColor rgb="FFFF0066"/>
        <bgColor rgb="FFFF0066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</borders>
  <cellStyleXfs count="28">
    <xf numFmtId="0" fontId="0" fillId="0" borderId="0"/>
    <xf numFmtId="165" fontId="8" fillId="0" borderId="0" applyFont="0" applyFill="0" applyBorder="0" applyAlignment="0" applyProtection="0"/>
    <xf numFmtId="0" fontId="8" fillId="0" borderId="0" applyNumberFormat="0" applyFont="0" applyBorder="0" applyAlignment="0" applyProtection="0"/>
    <xf numFmtId="0" fontId="8" fillId="2" borderId="0" applyNumberFormat="0" applyFont="0" applyBorder="0" applyAlignment="0" applyProtection="0"/>
    <xf numFmtId="0" fontId="8" fillId="3" borderId="0" applyNumberFormat="0" applyFont="0" applyBorder="0" applyAlignment="0" applyProtection="0"/>
    <xf numFmtId="0" fontId="8" fillId="4" borderId="0" applyNumberFormat="0" applyFont="0" applyBorder="0" applyAlignment="0" applyProtection="0"/>
    <xf numFmtId="0" fontId="8" fillId="5" borderId="0" applyNumberFormat="0" applyFont="0" applyBorder="0" applyAlignment="0" applyProtection="0"/>
    <xf numFmtId="0" fontId="8" fillId="6" borderId="0" applyNumberFormat="0" applyFont="0" applyBorder="0" applyAlignment="0" applyProtection="0"/>
    <xf numFmtId="0" fontId="8" fillId="0" borderId="0" applyNumberFormat="0" applyFont="0" applyBorder="0" applyProtection="0"/>
    <xf numFmtId="0" fontId="7" fillId="0" borderId="0"/>
    <xf numFmtId="165" fontId="8" fillId="0" borderId="0" applyFont="0" applyFill="0" applyBorder="0" applyAlignment="0" applyProtection="0"/>
    <xf numFmtId="0" fontId="8" fillId="0" borderId="0"/>
    <xf numFmtId="43" fontId="7" fillId="0" borderId="0" applyFont="0" applyFill="0" applyBorder="0" applyAlignment="0" applyProtection="0"/>
    <xf numFmtId="0" fontId="12" fillId="0" borderId="0"/>
    <xf numFmtId="9" fontId="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" fillId="0" borderId="0"/>
    <xf numFmtId="43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" fillId="0" borderId="0"/>
    <xf numFmtId="0" fontId="12" fillId="0" borderId="0"/>
    <xf numFmtId="0" fontId="1" fillId="0" borderId="0"/>
  </cellStyleXfs>
  <cellXfs count="794">
    <xf numFmtId="0" fontId="0" fillId="0" borderId="0" xfId="0"/>
    <xf numFmtId="0" fontId="10" fillId="0" borderId="0" xfId="9" applyFont="1"/>
    <xf numFmtId="0" fontId="11" fillId="0" borderId="0" xfId="9" applyFont="1"/>
    <xf numFmtId="0" fontId="10" fillId="0" borderId="0" xfId="9" applyFont="1" applyAlignment="1">
      <alignment horizontal="center"/>
    </xf>
    <xf numFmtId="0" fontId="11" fillId="9" borderId="1" xfId="9" applyFont="1" applyFill="1" applyBorder="1" applyAlignment="1">
      <alignment horizontal="center" vertical="top" wrapText="1"/>
    </xf>
    <xf numFmtId="164" fontId="9" fillId="9" borderId="1" xfId="10" applyNumberFormat="1" applyFont="1" applyFill="1" applyBorder="1" applyAlignment="1">
      <alignment horizontal="center" vertical="top" wrapText="1"/>
    </xf>
    <xf numFmtId="1" fontId="9" fillId="9" borderId="1" xfId="10" applyNumberFormat="1" applyFont="1" applyFill="1" applyBorder="1" applyAlignment="1">
      <alignment horizontal="center" vertical="top" wrapText="1"/>
    </xf>
    <xf numFmtId="0" fontId="10" fillId="0" borderId="0" xfId="9" applyFont="1" applyAlignment="1">
      <alignment horizontal="center" vertical="top"/>
    </xf>
    <xf numFmtId="0" fontId="10" fillId="0" borderId="5" xfId="9" applyFont="1" applyBorder="1"/>
    <xf numFmtId="0" fontId="10" fillId="0" borderId="6" xfId="9" applyFont="1" applyBorder="1"/>
    <xf numFmtId="0" fontId="10" fillId="0" borderId="6" xfId="9" applyFont="1" applyBorder="1" applyAlignment="1">
      <alignment horizontal="center"/>
    </xf>
    <xf numFmtId="0" fontId="10" fillId="0" borderId="7" xfId="9" applyFont="1" applyBorder="1"/>
    <xf numFmtId="166" fontId="10" fillId="0" borderId="0" xfId="12" applyNumberFormat="1" applyFont="1" applyBorder="1"/>
    <xf numFmtId="0" fontId="11" fillId="0" borderId="0" xfId="9" applyFont="1" applyAlignment="1">
      <alignment horizontal="center"/>
    </xf>
    <xf numFmtId="166" fontId="11" fillId="0" borderId="13" xfId="9" applyNumberFormat="1" applyFont="1" applyBorder="1"/>
    <xf numFmtId="166" fontId="10" fillId="0" borderId="0" xfId="9" applyNumberFormat="1" applyFont="1"/>
    <xf numFmtId="166" fontId="11" fillId="0" borderId="0" xfId="9" applyNumberFormat="1" applyFont="1"/>
    <xf numFmtId="1" fontId="9" fillId="13" borderId="1" xfId="10" applyNumberFormat="1" applyFont="1" applyFill="1" applyBorder="1" applyAlignment="1">
      <alignment horizontal="center" vertical="top" wrapText="1"/>
    </xf>
    <xf numFmtId="0" fontId="14" fillId="0" borderId="0" xfId="17"/>
    <xf numFmtId="0" fontId="16" fillId="0" borderId="1" xfId="17" applyFont="1" applyBorder="1" applyAlignment="1">
      <alignment horizontal="center" vertical="center" wrapText="1"/>
    </xf>
    <xf numFmtId="0" fontId="17" fillId="0" borderId="1" xfId="17" applyFont="1" applyBorder="1" applyAlignment="1">
      <alignment horizontal="center" vertical="center" wrapText="1"/>
    </xf>
    <xf numFmtId="17" fontId="16" fillId="0" borderId="1" xfId="17" applyNumberFormat="1" applyFont="1" applyBorder="1" applyAlignment="1">
      <alignment horizontal="center" vertical="center" wrapText="1"/>
    </xf>
    <xf numFmtId="0" fontId="18" fillId="0" borderId="0" xfId="17" applyFont="1" applyAlignment="1">
      <alignment wrapText="1"/>
    </xf>
    <xf numFmtId="0" fontId="19" fillId="0" borderId="1" xfId="17" applyFont="1" applyBorder="1" applyAlignment="1">
      <alignment horizontal="left" vertical="center"/>
    </xf>
    <xf numFmtId="0" fontId="19" fillId="0" borderId="1" xfId="17" applyFont="1" applyBorder="1" applyAlignment="1">
      <alignment horizontal="center" vertical="center"/>
    </xf>
    <xf numFmtId="14" fontId="19" fillId="0" borderId="1" xfId="17" applyNumberFormat="1" applyFont="1" applyBorder="1" applyAlignment="1">
      <alignment horizontal="center" vertical="center"/>
    </xf>
    <xf numFmtId="168" fontId="19" fillId="0" borderId="1" xfId="18" applyNumberFormat="1" applyFont="1" applyBorder="1" applyAlignment="1">
      <alignment horizontal="center" vertical="center"/>
    </xf>
    <xf numFmtId="0" fontId="20" fillId="0" borderId="0" xfId="17" applyFont="1"/>
    <xf numFmtId="15" fontId="19" fillId="0" borderId="1" xfId="17" applyNumberFormat="1" applyFont="1" applyBorder="1" applyAlignment="1">
      <alignment horizontal="center" vertical="center"/>
    </xf>
    <xf numFmtId="0" fontId="21" fillId="0" borderId="0" xfId="17" applyFont="1" applyAlignment="1">
      <alignment horizontal="center" vertical="center"/>
    </xf>
    <xf numFmtId="43" fontId="19" fillId="0" borderId="0" xfId="17" applyNumberFormat="1" applyFont="1" applyAlignment="1">
      <alignment horizontal="center" vertical="center"/>
    </xf>
    <xf numFmtId="43" fontId="16" fillId="0" borderId="23" xfId="17" applyNumberFormat="1" applyFont="1" applyBorder="1" applyAlignment="1">
      <alignment horizontal="center" vertical="center"/>
    </xf>
    <xf numFmtId="43" fontId="20" fillId="0" borderId="0" xfId="17" applyNumberFormat="1" applyFont="1"/>
    <xf numFmtId="164" fontId="19" fillId="0" borderId="1" xfId="1" applyNumberFormat="1" applyFont="1" applyBorder="1" applyAlignment="1">
      <alignment horizontal="center" vertical="center"/>
    </xf>
    <xf numFmtId="166" fontId="10" fillId="8" borderId="0" xfId="12" applyNumberFormat="1" applyFont="1" applyFill="1" applyBorder="1"/>
    <xf numFmtId="166" fontId="13" fillId="0" borderId="0" xfId="12" applyNumberFormat="1" applyFont="1" applyBorder="1"/>
    <xf numFmtId="166" fontId="10" fillId="0" borderId="0" xfId="12" applyNumberFormat="1" applyFont="1" applyBorder="1" applyAlignment="1">
      <alignment horizontal="center"/>
    </xf>
    <xf numFmtId="0" fontId="23" fillId="0" borderId="0" xfId="9" applyFont="1"/>
    <xf numFmtId="0" fontId="19" fillId="11" borderId="1" xfId="17" applyFont="1" applyFill="1" applyBorder="1" applyAlignment="1">
      <alignment horizontal="left" vertical="center"/>
    </xf>
    <xf numFmtId="164" fontId="19" fillId="11" borderId="1" xfId="1" applyNumberFormat="1" applyFont="1" applyFill="1" applyBorder="1" applyAlignment="1">
      <alignment horizontal="center" vertical="center"/>
    </xf>
    <xf numFmtId="0" fontId="19" fillId="11" borderId="1" xfId="17" applyFont="1" applyFill="1" applyBorder="1" applyAlignment="1">
      <alignment horizontal="center" vertical="center"/>
    </xf>
    <xf numFmtId="166" fontId="13" fillId="0" borderId="0" xfId="9" applyNumberFormat="1" applyFont="1"/>
    <xf numFmtId="43" fontId="10" fillId="0" borderId="0" xfId="9" applyNumberFormat="1" applyFont="1"/>
    <xf numFmtId="43" fontId="21" fillId="0" borderId="0" xfId="17" applyNumberFormat="1" applyFont="1" applyAlignment="1">
      <alignment horizontal="center" vertical="center"/>
    </xf>
    <xf numFmtId="0" fontId="25" fillId="0" borderId="0" xfId="11" applyFont="1" applyAlignment="1">
      <alignment horizontal="left" vertical="top"/>
    </xf>
    <xf numFmtId="0" fontId="25" fillId="0" borderId="27" xfId="19" applyNumberFormat="1" applyFont="1" applyFill="1" applyBorder="1" applyAlignment="1">
      <alignment horizontal="left" vertical="top" wrapText="1"/>
    </xf>
    <xf numFmtId="167" fontId="25" fillId="0" borderId="0" xfId="19" applyNumberFormat="1" applyFont="1" applyFill="1" applyBorder="1" applyAlignment="1">
      <alignment horizontal="left" vertical="top"/>
    </xf>
    <xf numFmtId="164" fontId="25" fillId="0" borderId="0" xfId="19" applyNumberFormat="1" applyFont="1" applyFill="1" applyBorder="1" applyAlignment="1">
      <alignment horizontal="center" vertical="top"/>
    </xf>
    <xf numFmtId="0" fontId="25" fillId="0" borderId="0" xfId="0" applyFont="1" applyAlignment="1">
      <alignment vertical="top"/>
    </xf>
    <xf numFmtId="167" fontId="25" fillId="0" borderId="0" xfId="0" applyNumberFormat="1" applyFont="1" applyAlignment="1">
      <alignment vertical="top"/>
    </xf>
    <xf numFmtId="41" fontId="10" fillId="0" borderId="0" xfId="9" applyNumberFormat="1" applyFont="1"/>
    <xf numFmtId="165" fontId="26" fillId="0" borderId="0" xfId="1" applyFont="1" applyAlignment="1">
      <alignment vertical="top"/>
    </xf>
    <xf numFmtId="0" fontId="26" fillId="0" borderId="0" xfId="0" applyFont="1" applyAlignment="1">
      <alignment vertical="top"/>
    </xf>
    <xf numFmtId="0" fontId="29" fillId="0" borderId="0" xfId="0" applyFont="1" applyAlignment="1">
      <alignment horizontal="center" vertical="top"/>
    </xf>
    <xf numFmtId="0" fontId="29" fillId="0" borderId="0" xfId="0" applyFont="1" applyAlignment="1">
      <alignment horizontal="right" vertical="top"/>
    </xf>
    <xf numFmtId="169" fontId="29" fillId="0" borderId="0" xfId="0" applyNumberFormat="1" applyFont="1" applyAlignment="1">
      <alignment horizontal="center" vertical="top"/>
    </xf>
    <xf numFmtId="0" fontId="29" fillId="0" borderId="1" xfId="0" applyFont="1" applyBorder="1" applyAlignment="1">
      <alignment horizontal="center" vertical="top"/>
    </xf>
    <xf numFmtId="165" fontId="29" fillId="0" borderId="1" xfId="1" applyFont="1" applyBorder="1" applyAlignment="1">
      <alignment horizontal="center" vertical="top"/>
    </xf>
    <xf numFmtId="165" fontId="26" fillId="0" borderId="0" xfId="1" applyFont="1" applyAlignment="1">
      <alignment horizontal="center" vertical="top"/>
    </xf>
    <xf numFmtId="0" fontId="26" fillId="0" borderId="0" xfId="0" applyFont="1" applyAlignment="1">
      <alignment horizontal="center" vertical="top"/>
    </xf>
    <xf numFmtId="165" fontId="29" fillId="0" borderId="0" xfId="1" applyFont="1" applyAlignment="1">
      <alignment horizontal="center" vertical="top"/>
    </xf>
    <xf numFmtId="0" fontId="27" fillId="0" borderId="0" xfId="0" applyFont="1" applyAlignment="1">
      <alignment vertical="top"/>
    </xf>
    <xf numFmtId="170" fontId="26" fillId="0" borderId="0" xfId="1" applyNumberFormat="1" applyFont="1" applyAlignment="1">
      <alignment vertical="top"/>
    </xf>
    <xf numFmtId="170" fontId="28" fillId="0" borderId="0" xfId="0" applyNumberFormat="1" applyFont="1" applyAlignment="1">
      <alignment horizontal="center" vertical="top"/>
    </xf>
    <xf numFmtId="170" fontId="29" fillId="0" borderId="6" xfId="1" applyNumberFormat="1" applyFont="1" applyBorder="1" applyAlignment="1">
      <alignment vertical="top"/>
    </xf>
    <xf numFmtId="170" fontId="29" fillId="0" borderId="13" xfId="1" applyNumberFormat="1" applyFont="1" applyBorder="1" applyAlignment="1">
      <alignment vertical="top"/>
    </xf>
    <xf numFmtId="0" fontId="29" fillId="0" borderId="0" xfId="0" applyFont="1" applyAlignment="1">
      <alignment horizontal="left" vertical="top"/>
    </xf>
    <xf numFmtId="165" fontId="29" fillId="0" borderId="0" xfId="1" applyFont="1" applyAlignment="1">
      <alignment horizontal="right" vertical="top"/>
    </xf>
    <xf numFmtId="0" fontId="26" fillId="0" borderId="0" xfId="0" applyFont="1" applyAlignment="1">
      <alignment horizontal="left" vertical="top" indent="2"/>
    </xf>
    <xf numFmtId="1" fontId="24" fillId="0" borderId="0" xfId="19" applyNumberFormat="1" applyFont="1" applyFill="1" applyBorder="1" applyAlignment="1">
      <alignment horizontal="center" vertical="top" wrapText="1"/>
    </xf>
    <xf numFmtId="1" fontId="25" fillId="0" borderId="0" xfId="19" applyNumberFormat="1" applyFont="1" applyFill="1" applyBorder="1" applyAlignment="1">
      <alignment horizontal="center" vertical="top"/>
    </xf>
    <xf numFmtId="0" fontId="25" fillId="0" borderId="0" xfId="19" applyNumberFormat="1" applyFont="1" applyFill="1" applyBorder="1" applyAlignment="1">
      <alignment horizontal="left" vertical="top"/>
    </xf>
    <xf numFmtId="0" fontId="25" fillId="0" borderId="0" xfId="19" applyNumberFormat="1" applyFont="1" applyFill="1" applyBorder="1" applyAlignment="1">
      <alignment horizontal="left" vertical="top" wrapText="1"/>
    </xf>
    <xf numFmtId="0" fontId="12" fillId="0" borderId="0" xfId="0" applyFont="1"/>
    <xf numFmtId="0" fontId="33" fillId="0" borderId="30" xfId="0" applyFont="1" applyBorder="1" applyAlignment="1">
      <alignment horizontal="right"/>
    </xf>
    <xf numFmtId="165" fontId="12" fillId="0" borderId="8" xfId="1" applyFont="1" applyFill="1" applyBorder="1" applyAlignment="1">
      <alignment horizontal="center"/>
    </xf>
    <xf numFmtId="0" fontId="33" fillId="0" borderId="31" xfId="0" applyFont="1" applyBorder="1" applyAlignment="1">
      <alignment horizontal="right"/>
    </xf>
    <xf numFmtId="165" fontId="12" fillId="0" borderId="32" xfId="1" applyFont="1" applyFill="1" applyBorder="1" applyAlignment="1">
      <alignment horizontal="center"/>
    </xf>
    <xf numFmtId="172" fontId="12" fillId="7" borderId="32" xfId="0" applyNumberFormat="1" applyFont="1" applyFill="1" applyBorder="1" applyAlignment="1">
      <alignment horizontal="center"/>
    </xf>
    <xf numFmtId="1" fontId="12" fillId="0" borderId="32" xfId="0" applyNumberFormat="1" applyFont="1" applyBorder="1" applyAlignment="1">
      <alignment horizontal="center"/>
    </xf>
    <xf numFmtId="0" fontId="33" fillId="0" borderId="33" xfId="0" applyFont="1" applyBorder="1" applyAlignment="1">
      <alignment horizontal="right"/>
    </xf>
    <xf numFmtId="173" fontId="12" fillId="0" borderId="34" xfId="1" applyNumberFormat="1" applyFont="1" applyFill="1" applyBorder="1" applyAlignment="1">
      <alignment horizontal="center"/>
    </xf>
    <xf numFmtId="0" fontId="12" fillId="17" borderId="17" xfId="0" applyFont="1" applyFill="1" applyBorder="1"/>
    <xf numFmtId="174" fontId="12" fillId="17" borderId="0" xfId="1" applyNumberFormat="1" applyFont="1" applyFill="1" applyBorder="1" applyAlignment="1">
      <alignment horizontal="center"/>
    </xf>
    <xf numFmtId="0" fontId="12" fillId="17" borderId="18" xfId="0" applyFont="1" applyFill="1" applyBorder="1"/>
    <xf numFmtId="0" fontId="33" fillId="16" borderId="16" xfId="0" applyFont="1" applyFill="1" applyBorder="1" applyAlignment="1">
      <alignment horizontal="center"/>
    </xf>
    <xf numFmtId="0" fontId="33" fillId="16" borderId="15" xfId="0" applyFont="1" applyFill="1" applyBorder="1" applyAlignment="1">
      <alignment horizontal="center"/>
    </xf>
    <xf numFmtId="0" fontId="33" fillId="0" borderId="35" xfId="0" applyFont="1" applyBorder="1" applyAlignment="1">
      <alignment horizontal="right"/>
    </xf>
    <xf numFmtId="175" fontId="33" fillId="0" borderId="36" xfId="1" applyNumberFormat="1" applyFont="1" applyFill="1" applyBorder="1" applyAlignment="1">
      <alignment horizontal="left"/>
    </xf>
    <xf numFmtId="9" fontId="34" fillId="0" borderId="37" xfId="0" applyNumberFormat="1" applyFont="1" applyBorder="1" applyAlignment="1">
      <alignment horizontal="center"/>
    </xf>
    <xf numFmtId="0" fontId="12" fillId="0" borderId="31" xfId="0" applyFont="1" applyBorder="1" applyAlignment="1">
      <alignment horizontal="right"/>
    </xf>
    <xf numFmtId="175" fontId="12" fillId="0" borderId="1" xfId="0" applyNumberFormat="1" applyFont="1" applyBorder="1" applyAlignment="1">
      <alignment horizontal="center"/>
    </xf>
    <xf numFmtId="9" fontId="34" fillId="0" borderId="38" xfId="0" applyNumberFormat="1" applyFont="1" applyBorder="1" applyAlignment="1">
      <alignment horizontal="center" wrapText="1"/>
    </xf>
    <xf numFmtId="175" fontId="12" fillId="0" borderId="1" xfId="1" applyNumberFormat="1" applyFont="1" applyFill="1" applyBorder="1" applyAlignment="1">
      <alignment horizontal="left"/>
    </xf>
    <xf numFmtId="0" fontId="12" fillId="0" borderId="30" xfId="0" applyFont="1" applyBorder="1" applyAlignment="1">
      <alignment horizontal="right"/>
    </xf>
    <xf numFmtId="175" fontId="12" fillId="0" borderId="2" xfId="1" applyNumberFormat="1" applyFont="1" applyFill="1" applyBorder="1" applyAlignment="1">
      <alignment horizontal="left"/>
    </xf>
    <xf numFmtId="0" fontId="34" fillId="0" borderId="39" xfId="0" applyFont="1" applyBorder="1" applyAlignment="1">
      <alignment horizontal="center" wrapText="1"/>
    </xf>
    <xf numFmtId="0" fontId="34" fillId="0" borderId="38" xfId="0" applyFont="1" applyBorder="1" applyAlignment="1">
      <alignment horizontal="center"/>
    </xf>
    <xf numFmtId="0" fontId="34" fillId="0" borderId="38" xfId="0" applyFont="1" applyBorder="1" applyAlignment="1">
      <alignment horizontal="left"/>
    </xf>
    <xf numFmtId="176" fontId="33" fillId="0" borderId="40" xfId="1" applyNumberFormat="1" applyFont="1" applyFill="1" applyBorder="1" applyAlignment="1">
      <alignment horizontal="left"/>
    </xf>
    <xf numFmtId="0" fontId="34" fillId="0" borderId="41" xfId="0" applyFont="1" applyBorder="1"/>
    <xf numFmtId="0" fontId="12" fillId="0" borderId="35" xfId="0" applyFont="1" applyBorder="1" applyAlignment="1">
      <alignment horizontal="right"/>
    </xf>
    <xf numFmtId="176" fontId="12" fillId="0" borderId="1" xfId="1" applyNumberFormat="1" applyFont="1" applyFill="1" applyBorder="1" applyAlignment="1">
      <alignment horizontal="left"/>
    </xf>
    <xf numFmtId="0" fontId="34" fillId="0" borderId="37" xfId="0" applyFont="1" applyBorder="1" applyAlignment="1">
      <alignment horizontal="center"/>
    </xf>
    <xf numFmtId="0" fontId="34" fillId="0" borderId="38" xfId="0" applyFont="1" applyBorder="1" applyAlignment="1">
      <alignment horizontal="center" wrapText="1"/>
    </xf>
    <xf numFmtId="0" fontId="34" fillId="0" borderId="38" xfId="0" applyFont="1" applyBorder="1" applyAlignment="1">
      <alignment horizontal="left" wrapText="1"/>
    </xf>
    <xf numFmtId="176" fontId="12" fillId="0" borderId="1" xfId="0" applyNumberFormat="1" applyFont="1" applyBorder="1" applyAlignment="1">
      <alignment horizontal="left"/>
    </xf>
    <xf numFmtId="0" fontId="34" fillId="0" borderId="38" xfId="0" applyFont="1" applyBorder="1" applyAlignment="1">
      <alignment horizontal="right"/>
    </xf>
    <xf numFmtId="177" fontId="33" fillId="0" borderId="40" xfId="0" applyNumberFormat="1" applyFont="1" applyBorder="1"/>
    <xf numFmtId="0" fontId="34" fillId="0" borderId="41" xfId="0" applyFont="1" applyBorder="1" applyAlignment="1">
      <alignment horizontal="center"/>
    </xf>
    <xf numFmtId="0" fontId="12" fillId="0" borderId="36" xfId="0" applyFont="1" applyBorder="1" applyAlignment="1">
      <alignment horizontal="center" wrapText="1"/>
    </xf>
    <xf numFmtId="0" fontId="12" fillId="0" borderId="37" xfId="0" applyFont="1" applyBorder="1" applyAlignment="1">
      <alignment horizontal="center" wrapText="1"/>
    </xf>
    <xf numFmtId="0" fontId="12" fillId="0" borderId="31" xfId="0" applyFont="1" applyBorder="1" applyAlignment="1">
      <alignment horizontal="right" wrapText="1"/>
    </xf>
    <xf numFmtId="0" fontId="12" fillId="0" borderId="1" xfId="1" applyNumberFormat="1" applyFont="1" applyFill="1" applyBorder="1" applyAlignment="1">
      <alignment horizontal="center"/>
    </xf>
    <xf numFmtId="0" fontId="12" fillId="0" borderId="38" xfId="1" applyNumberFormat="1" applyFont="1" applyFill="1" applyBorder="1" applyAlignment="1">
      <alignment horizontal="center"/>
    </xf>
    <xf numFmtId="0" fontId="33" fillId="0" borderId="40" xfId="1" applyNumberFormat="1" applyFont="1" applyFill="1" applyBorder="1" applyAlignment="1">
      <alignment horizontal="center"/>
    </xf>
    <xf numFmtId="0" fontId="33" fillId="0" borderId="41" xfId="1" applyNumberFormat="1" applyFont="1" applyFill="1" applyBorder="1" applyAlignment="1">
      <alignment horizontal="center"/>
    </xf>
    <xf numFmtId="0" fontId="12" fillId="17" borderId="17" xfId="0" applyFont="1" applyFill="1" applyBorder="1" applyAlignment="1">
      <alignment horizontal="right"/>
    </xf>
    <xf numFmtId="0" fontId="33" fillId="17" borderId="0" xfId="1" applyNumberFormat="1" applyFont="1" applyFill="1" applyBorder="1" applyAlignment="1">
      <alignment horizontal="right"/>
    </xf>
    <xf numFmtId="0" fontId="33" fillId="17" borderId="18" xfId="1" applyNumberFormat="1" applyFont="1" applyFill="1" applyBorder="1" applyAlignment="1">
      <alignment horizontal="right"/>
    </xf>
    <xf numFmtId="0" fontId="35" fillId="0" borderId="35" xfId="0" applyFont="1" applyBorder="1" applyAlignment="1">
      <alignment horizontal="right"/>
    </xf>
    <xf numFmtId="0" fontId="35" fillId="0" borderId="31" xfId="0" applyFont="1" applyBorder="1" applyAlignment="1">
      <alignment horizontal="right"/>
    </xf>
    <xf numFmtId="2" fontId="36" fillId="0" borderId="1" xfId="0" applyNumberFormat="1" applyFont="1" applyBorder="1" applyAlignment="1">
      <alignment horizontal="center" wrapText="1"/>
    </xf>
    <xf numFmtId="0" fontId="37" fillId="0" borderId="33" xfId="0" applyFont="1" applyBorder="1" applyAlignment="1">
      <alignment horizontal="right"/>
    </xf>
    <xf numFmtId="0" fontId="38" fillId="0" borderId="41" xfId="0" applyFont="1" applyBorder="1" applyAlignment="1">
      <alignment horizontal="center" wrapText="1"/>
    </xf>
    <xf numFmtId="0" fontId="33" fillId="0" borderId="0" xfId="0" applyFont="1" applyAlignment="1">
      <alignment horizontal="right"/>
    </xf>
    <xf numFmtId="41" fontId="34" fillId="0" borderId="0" xfId="1" applyNumberFormat="1" applyFont="1" applyFill="1" applyBorder="1"/>
    <xf numFmtId="41" fontId="12" fillId="0" borderId="0" xfId="1" applyNumberFormat="1" applyFont="1" applyFill="1" applyBorder="1"/>
    <xf numFmtId="0" fontId="34" fillId="0" borderId="0" xfId="0" applyFont="1"/>
    <xf numFmtId="41" fontId="33" fillId="0" borderId="0" xfId="1" applyNumberFormat="1" applyFont="1" applyFill="1" applyBorder="1"/>
    <xf numFmtId="0" fontId="25" fillId="0" borderId="0" xfId="0" applyFont="1" applyAlignment="1">
      <alignment horizontal="center" vertical="top"/>
    </xf>
    <xf numFmtId="0" fontId="24" fillId="0" borderId="0" xfId="0" applyFont="1" applyAlignment="1">
      <alignment vertical="top"/>
    </xf>
    <xf numFmtId="167" fontId="24" fillId="0" borderId="0" xfId="0" applyNumberFormat="1" applyFont="1" applyAlignment="1">
      <alignment vertical="top"/>
    </xf>
    <xf numFmtId="2" fontId="10" fillId="0" borderId="0" xfId="9" applyNumberFormat="1" applyFont="1"/>
    <xf numFmtId="1" fontId="26" fillId="0" borderId="0" xfId="0" applyNumberFormat="1" applyFont="1" applyAlignment="1">
      <alignment vertical="top"/>
    </xf>
    <xf numFmtId="0" fontId="1" fillId="0" borderId="0" xfId="27" applyAlignment="1">
      <alignment horizontal="center"/>
    </xf>
    <xf numFmtId="0" fontId="1" fillId="0" borderId="0" xfId="27"/>
    <xf numFmtId="46" fontId="1" fillId="0" borderId="0" xfId="27" applyNumberFormat="1" applyAlignment="1">
      <alignment horizontal="center"/>
    </xf>
    <xf numFmtId="1" fontId="1" fillId="0" borderId="0" xfId="27" applyNumberFormat="1"/>
    <xf numFmtId="0" fontId="43" fillId="0" borderId="0" xfId="0" applyFont="1" applyAlignment="1">
      <alignment horizontal="left"/>
    </xf>
    <xf numFmtId="0" fontId="44" fillId="0" borderId="0" xfId="0" applyFont="1"/>
    <xf numFmtId="0" fontId="45" fillId="0" borderId="0" xfId="0" applyFont="1"/>
    <xf numFmtId="0" fontId="44" fillId="0" borderId="0" xfId="0" applyFont="1" applyAlignment="1">
      <alignment horizontal="left"/>
    </xf>
    <xf numFmtId="164" fontId="0" fillId="0" borderId="0" xfId="1" applyNumberFormat="1" applyFont="1"/>
    <xf numFmtId="43" fontId="0" fillId="0" borderId="0" xfId="1" applyNumberFormat="1" applyFont="1"/>
    <xf numFmtId="0" fontId="0" fillId="0" borderId="0" xfId="0" applyAlignment="1">
      <alignment horizontal="center"/>
    </xf>
    <xf numFmtId="46" fontId="1" fillId="0" borderId="1" xfId="27" applyNumberFormat="1" applyBorder="1" applyAlignment="1">
      <alignment horizontal="center"/>
    </xf>
    <xf numFmtId="46" fontId="1" fillId="0" borderId="40" xfId="27" applyNumberFormat="1" applyBorder="1" applyAlignment="1">
      <alignment horizontal="center"/>
    </xf>
    <xf numFmtId="0" fontId="1" fillId="0" borderId="0" xfId="27" applyAlignment="1">
      <alignment horizontal="center" vertical="center"/>
    </xf>
    <xf numFmtId="0" fontId="23" fillId="0" borderId="0" xfId="27" applyFont="1" applyAlignment="1">
      <alignment horizontal="left" vertical="center"/>
    </xf>
    <xf numFmtId="0" fontId="23" fillId="0" borderId="0" xfId="27" applyFont="1" applyAlignment="1">
      <alignment horizontal="center" vertical="center"/>
    </xf>
    <xf numFmtId="0" fontId="1" fillId="0" borderId="9" xfId="27" applyBorder="1" applyAlignment="1">
      <alignment horizontal="center" vertical="center"/>
    </xf>
    <xf numFmtId="0" fontId="1" fillId="0" borderId="1" xfId="27" applyBorder="1" applyAlignment="1">
      <alignment horizontal="center" vertical="center"/>
    </xf>
    <xf numFmtId="0" fontId="13" fillId="0" borderId="1" xfId="27" applyFont="1" applyBorder="1" applyAlignment="1">
      <alignment horizontal="center" vertical="center"/>
    </xf>
    <xf numFmtId="0" fontId="46" fillId="0" borderId="1" xfId="27" applyFont="1" applyBorder="1" applyAlignment="1">
      <alignment horizontal="center" vertical="center"/>
    </xf>
    <xf numFmtId="0" fontId="23" fillId="0" borderId="1" xfId="27" applyFont="1" applyBorder="1" applyAlignment="1">
      <alignment horizontal="center" vertical="center"/>
    </xf>
    <xf numFmtId="0" fontId="11" fillId="0" borderId="1" xfId="27" applyFont="1" applyBorder="1" applyAlignment="1">
      <alignment horizontal="center" vertical="center"/>
    </xf>
    <xf numFmtId="0" fontId="23" fillId="18" borderId="1" xfId="27" applyFont="1" applyFill="1" applyBorder="1" applyAlignment="1">
      <alignment horizontal="center" vertical="center"/>
    </xf>
    <xf numFmtId="0" fontId="1" fillId="20" borderId="1" xfId="27" applyFill="1" applyBorder="1" applyAlignment="1">
      <alignment horizontal="center" vertical="center"/>
    </xf>
    <xf numFmtId="0" fontId="23" fillId="20" borderId="1" xfId="27" applyFont="1" applyFill="1" applyBorder="1" applyAlignment="1">
      <alignment horizontal="center" vertical="center"/>
    </xf>
    <xf numFmtId="0" fontId="21" fillId="20" borderId="1" xfId="27" applyFont="1" applyFill="1" applyBorder="1" applyAlignment="1">
      <alignment horizontal="center" vertical="center"/>
    </xf>
    <xf numFmtId="0" fontId="21" fillId="0" borderId="1" xfId="26" applyFont="1" applyBorder="1" applyAlignment="1">
      <alignment horizontal="left" vertical="center"/>
    </xf>
    <xf numFmtId="0" fontId="21" fillId="0" borderId="1" xfId="26" applyFont="1" applyBorder="1" applyAlignment="1">
      <alignment horizontal="center" vertical="center"/>
    </xf>
    <xf numFmtId="0" fontId="13" fillId="12" borderId="1" xfId="27" applyFont="1" applyFill="1" applyBorder="1" applyAlignment="1">
      <alignment horizontal="center" vertical="center"/>
    </xf>
    <xf numFmtId="0" fontId="46" fillId="12" borderId="1" xfId="27" applyFont="1" applyFill="1" applyBorder="1" applyAlignment="1">
      <alignment horizontal="center" vertical="center"/>
    </xf>
    <xf numFmtId="0" fontId="23" fillId="12" borderId="1" xfId="27" applyFont="1" applyFill="1" applyBorder="1" applyAlignment="1">
      <alignment horizontal="center" vertical="center"/>
    </xf>
    <xf numFmtId="0" fontId="47" fillId="12" borderId="1" xfId="27" applyFont="1" applyFill="1" applyBorder="1" applyAlignment="1">
      <alignment horizontal="center" vertical="center"/>
    </xf>
    <xf numFmtId="0" fontId="11" fillId="12" borderId="1" xfId="27" applyFont="1" applyFill="1" applyBorder="1" applyAlignment="1">
      <alignment horizontal="center" vertical="center"/>
    </xf>
    <xf numFmtId="0" fontId="21" fillId="12" borderId="1" xfId="26" applyFont="1" applyFill="1" applyBorder="1" applyAlignment="1">
      <alignment horizontal="left" vertical="center"/>
    </xf>
    <xf numFmtId="0" fontId="21" fillId="12" borderId="1" xfId="26" applyFont="1" applyFill="1" applyBorder="1" applyAlignment="1">
      <alignment horizontal="center" vertical="center"/>
    </xf>
    <xf numFmtId="0" fontId="21" fillId="0" borderId="45" xfId="26" applyFont="1" applyBorder="1" applyAlignment="1">
      <alignment horizontal="center" vertical="center"/>
    </xf>
    <xf numFmtId="0" fontId="21" fillId="0" borderId="45" xfId="26" applyFont="1" applyBorder="1" applyAlignment="1">
      <alignment horizontal="left" vertical="center"/>
    </xf>
    <xf numFmtId="0" fontId="10" fillId="0" borderId="1" xfId="27" applyFont="1" applyBorder="1" applyAlignment="1">
      <alignment horizontal="center" vertical="center"/>
    </xf>
    <xf numFmtId="0" fontId="47" fillId="0" borderId="1" xfId="27" applyFont="1" applyBorder="1" applyAlignment="1">
      <alignment horizontal="center" vertical="center"/>
    </xf>
    <xf numFmtId="0" fontId="21" fillId="0" borderId="1" xfId="27" applyFont="1" applyBorder="1" applyAlignment="1">
      <alignment horizontal="center" vertical="center"/>
    </xf>
    <xf numFmtId="0" fontId="23" fillId="11" borderId="1" xfId="27" applyFont="1" applyFill="1" applyBorder="1" applyAlignment="1">
      <alignment horizontal="center" vertical="center"/>
    </xf>
    <xf numFmtId="0" fontId="23" fillId="19" borderId="1" xfId="27" applyFont="1" applyFill="1" applyBorder="1" applyAlignment="1">
      <alignment horizontal="center" vertical="center"/>
    </xf>
    <xf numFmtId="0" fontId="1" fillId="0" borderId="0" xfId="27" applyAlignment="1">
      <alignment horizontal="center" vertical="center" wrapText="1"/>
    </xf>
    <xf numFmtId="0" fontId="10" fillId="11" borderId="16" xfId="27" applyFont="1" applyFill="1" applyBorder="1" applyAlignment="1">
      <alignment horizontal="center" vertical="center" wrapText="1"/>
    </xf>
    <xf numFmtId="0" fontId="13" fillId="11" borderId="0" xfId="27" applyFont="1" applyFill="1" applyAlignment="1">
      <alignment horizontal="center" vertical="center" wrapText="1"/>
    </xf>
    <xf numFmtId="0" fontId="13" fillId="11" borderId="1" xfId="27" applyFont="1" applyFill="1" applyBorder="1" applyAlignment="1">
      <alignment horizontal="center" vertical="center" wrapText="1"/>
    </xf>
    <xf numFmtId="0" fontId="13" fillId="19" borderId="1" xfId="27" applyFont="1" applyFill="1" applyBorder="1" applyAlignment="1">
      <alignment horizontal="center" vertical="center" wrapText="1"/>
    </xf>
    <xf numFmtId="0" fontId="10" fillId="19" borderId="1" xfId="27" applyFont="1" applyFill="1" applyBorder="1" applyAlignment="1">
      <alignment horizontal="center" vertical="center" wrapText="1"/>
    </xf>
    <xf numFmtId="0" fontId="13" fillId="9" borderId="1" xfId="27" applyFont="1" applyFill="1" applyBorder="1" applyAlignment="1">
      <alignment horizontal="center" vertical="center" wrapText="1"/>
    </xf>
    <xf numFmtId="0" fontId="10" fillId="9" borderId="1" xfId="27" applyFont="1" applyFill="1" applyBorder="1" applyAlignment="1">
      <alignment horizontal="center" vertical="center" wrapText="1"/>
    </xf>
    <xf numFmtId="0" fontId="10" fillId="11" borderId="1" xfId="27" applyFont="1" applyFill="1" applyBorder="1" applyAlignment="1">
      <alignment horizontal="center" vertical="center" wrapText="1"/>
    </xf>
    <xf numFmtId="0" fontId="42" fillId="11" borderId="23" xfId="27" applyFont="1" applyFill="1" applyBorder="1" applyAlignment="1">
      <alignment horizontal="center" vertical="center" wrapText="1"/>
    </xf>
    <xf numFmtId="0" fontId="17" fillId="8" borderId="0" xfId="27" applyFont="1" applyFill="1" applyAlignment="1">
      <alignment horizontal="center" vertical="center" wrapText="1"/>
    </xf>
    <xf numFmtId="0" fontId="1" fillId="12" borderId="0" xfId="27" applyFill="1" applyAlignment="1">
      <alignment horizontal="center" vertical="center"/>
    </xf>
    <xf numFmtId="0" fontId="1" fillId="11" borderId="0" xfId="27" applyFill="1" applyAlignment="1">
      <alignment horizontal="center" vertical="center"/>
    </xf>
    <xf numFmtId="0" fontId="47" fillId="0" borderId="0" xfId="27" applyFont="1" applyAlignment="1">
      <alignment horizontal="center" vertical="center"/>
    </xf>
    <xf numFmtId="177" fontId="0" fillId="0" borderId="0" xfId="0" applyNumberFormat="1"/>
    <xf numFmtId="0" fontId="48" fillId="0" borderId="0" xfId="0" quotePrefix="1" applyFont="1" applyAlignment="1">
      <alignment horizontal="center" vertical="top"/>
    </xf>
    <xf numFmtId="0" fontId="48" fillId="0" borderId="0" xfId="0" quotePrefix="1" applyFont="1" applyAlignment="1">
      <alignment horizontal="center" vertical="top" wrapText="1"/>
    </xf>
    <xf numFmtId="0" fontId="48" fillId="0" borderId="0" xfId="0" applyFont="1" applyAlignment="1">
      <alignment horizontal="center" vertical="top"/>
    </xf>
    <xf numFmtId="0" fontId="48" fillId="0" borderId="0" xfId="0" applyFont="1" applyAlignment="1">
      <alignment horizontal="center" vertical="top" wrapText="1"/>
    </xf>
    <xf numFmtId="0" fontId="49" fillId="0" borderId="0" xfId="0" applyFont="1" applyAlignment="1">
      <alignment horizontal="center" vertical="top"/>
    </xf>
    <xf numFmtId="0" fontId="49" fillId="0" borderId="0" xfId="0" applyFont="1"/>
    <xf numFmtId="0" fontId="49" fillId="0" borderId="0" xfId="0" applyFont="1" applyAlignment="1">
      <alignment horizontal="center"/>
    </xf>
    <xf numFmtId="46" fontId="49" fillId="0" borderId="0" xfId="0" applyNumberFormat="1" applyFont="1" applyAlignment="1">
      <alignment horizontal="center"/>
    </xf>
    <xf numFmtId="2" fontId="49" fillId="0" borderId="0" xfId="0" applyNumberFormat="1" applyFont="1" applyAlignment="1">
      <alignment horizontal="center"/>
    </xf>
    <xf numFmtId="2" fontId="49" fillId="11" borderId="0" xfId="0" applyNumberFormat="1" applyFont="1" applyFill="1" applyAlignment="1">
      <alignment horizontal="center"/>
    </xf>
    <xf numFmtId="46" fontId="50" fillId="0" borderId="0" xfId="0" applyNumberFormat="1" applyFont="1" applyAlignment="1">
      <alignment horizontal="center"/>
    </xf>
    <xf numFmtId="1" fontId="49" fillId="0" borderId="0" xfId="0" applyNumberFormat="1" applyFont="1" applyAlignment="1">
      <alignment horizontal="center"/>
    </xf>
    <xf numFmtId="0" fontId="10" fillId="13" borderId="6" xfId="9" applyFont="1" applyFill="1" applyBorder="1"/>
    <xf numFmtId="176" fontId="33" fillId="0" borderId="36" xfId="1" applyNumberFormat="1" applyFont="1" applyFill="1" applyBorder="1" applyAlignment="1">
      <alignment horizontal="left"/>
    </xf>
    <xf numFmtId="166" fontId="11" fillId="0" borderId="0" xfId="9" applyNumberFormat="1" applyFont="1" applyAlignment="1">
      <alignment horizontal="right"/>
    </xf>
    <xf numFmtId="0" fontId="52" fillId="0" borderId="9" xfId="9" applyFont="1" applyBorder="1"/>
    <xf numFmtId="0" fontId="52" fillId="0" borderId="0" xfId="9" applyFont="1"/>
    <xf numFmtId="0" fontId="23" fillId="0" borderId="0" xfId="9" applyFont="1" applyAlignment="1">
      <alignment horizontal="center"/>
    </xf>
    <xf numFmtId="0" fontId="23" fillId="13" borderId="0" xfId="9" applyFont="1" applyFill="1"/>
    <xf numFmtId="0" fontId="23" fillId="0" borderId="10" xfId="9" applyFont="1" applyBorder="1"/>
    <xf numFmtId="0" fontId="23" fillId="0" borderId="9" xfId="9" applyFont="1" applyBorder="1"/>
    <xf numFmtId="0" fontId="53" fillId="0" borderId="0" xfId="11" applyFont="1" applyAlignment="1">
      <alignment horizontal="center" vertical="top"/>
    </xf>
    <xf numFmtId="166" fontId="23" fillId="0" borderId="0" xfId="12" applyNumberFormat="1" applyFont="1" applyBorder="1"/>
    <xf numFmtId="166" fontId="23" fillId="13" borderId="0" xfId="12" applyNumberFormat="1" applyFont="1" applyFill="1" applyBorder="1"/>
    <xf numFmtId="166" fontId="23" fillId="0" borderId="10" xfId="12" applyNumberFormat="1" applyFont="1" applyBorder="1"/>
    <xf numFmtId="0" fontId="23" fillId="9" borderId="8" xfId="9" applyFont="1" applyFill="1" applyBorder="1"/>
    <xf numFmtId="0" fontId="47" fillId="9" borderId="4" xfId="9" applyFont="1" applyFill="1" applyBorder="1"/>
    <xf numFmtId="0" fontId="47" fillId="9" borderId="11" xfId="9" applyFont="1" applyFill="1" applyBorder="1" applyAlignment="1">
      <alignment horizontal="center"/>
    </xf>
    <xf numFmtId="0" fontId="53" fillId="9" borderId="4" xfId="11" applyFont="1" applyFill="1" applyBorder="1" applyAlignment="1">
      <alignment horizontal="center" vertical="top"/>
    </xf>
    <xf numFmtId="166" fontId="47" fillId="9" borderId="11" xfId="12" applyNumberFormat="1" applyFont="1" applyFill="1" applyBorder="1" applyAlignment="1">
      <alignment horizontal="center"/>
    </xf>
    <xf numFmtId="166" fontId="47" fillId="13" borderId="11" xfId="12" applyNumberFormat="1" applyFont="1" applyFill="1" applyBorder="1" applyAlignment="1">
      <alignment horizontal="center"/>
    </xf>
    <xf numFmtId="166" fontId="46" fillId="9" borderId="11" xfId="12" applyNumberFormat="1" applyFont="1" applyFill="1" applyBorder="1" applyAlignment="1">
      <alignment horizontal="center"/>
    </xf>
    <xf numFmtId="166" fontId="47" fillId="9" borderId="12" xfId="12" applyNumberFormat="1" applyFont="1" applyFill="1" applyBorder="1" applyAlignment="1">
      <alignment horizontal="center"/>
    </xf>
    <xf numFmtId="0" fontId="23" fillId="9" borderId="9" xfId="9" applyFont="1" applyFill="1" applyBorder="1"/>
    <xf numFmtId="0" fontId="47" fillId="9" borderId="0" xfId="9" applyFont="1" applyFill="1"/>
    <xf numFmtId="0" fontId="47" fillId="9" borderId="6" xfId="9" applyFont="1" applyFill="1" applyBorder="1" applyAlignment="1">
      <alignment horizontal="center"/>
    </xf>
    <xf numFmtId="0" fontId="53" fillId="9" borderId="0" xfId="11" applyFont="1" applyFill="1" applyAlignment="1">
      <alignment horizontal="center" vertical="top"/>
    </xf>
    <xf numFmtId="166" fontId="47" fillId="9" borderId="6" xfId="12" applyNumberFormat="1" applyFont="1" applyFill="1" applyBorder="1" applyAlignment="1">
      <alignment horizontal="center"/>
    </xf>
    <xf numFmtId="166" fontId="47" fillId="13" borderId="6" xfId="12" applyNumberFormat="1" applyFont="1" applyFill="1" applyBorder="1" applyAlignment="1">
      <alignment horizontal="center"/>
    </xf>
    <xf numFmtId="0" fontId="23" fillId="0" borderId="5" xfId="9" applyFont="1" applyBorder="1"/>
    <xf numFmtId="0" fontId="23" fillId="0" borderId="6" xfId="9" applyFont="1" applyBorder="1"/>
    <xf numFmtId="0" fontId="23" fillId="0" borderId="6" xfId="9" applyFont="1" applyBorder="1" applyAlignment="1">
      <alignment horizontal="center"/>
    </xf>
    <xf numFmtId="0" fontId="53" fillId="0" borderId="6" xfId="11" applyFont="1" applyBorder="1" applyAlignment="1">
      <alignment horizontal="center" vertical="top"/>
    </xf>
    <xf numFmtId="166" fontId="23" fillId="0" borderId="6" xfId="12" applyNumberFormat="1" applyFont="1" applyBorder="1"/>
    <xf numFmtId="166" fontId="23" fillId="13" borderId="6" xfId="12" applyNumberFormat="1" applyFont="1" applyFill="1" applyBorder="1"/>
    <xf numFmtId="0" fontId="23" fillId="0" borderId="7" xfId="9" applyFont="1" applyBorder="1"/>
    <xf numFmtId="0" fontId="23" fillId="10" borderId="9" xfId="9" applyFont="1" applyFill="1" applyBorder="1"/>
    <xf numFmtId="0" fontId="23" fillId="10" borderId="0" xfId="9" applyFont="1" applyFill="1"/>
    <xf numFmtId="0" fontId="47" fillId="10" borderId="6" xfId="9" applyFont="1" applyFill="1" applyBorder="1" applyAlignment="1">
      <alignment horizontal="center"/>
    </xf>
    <xf numFmtId="0" fontId="53" fillId="10" borderId="0" xfId="11" applyFont="1" applyFill="1" applyAlignment="1">
      <alignment horizontal="center" vertical="top"/>
    </xf>
    <xf numFmtId="166" fontId="47" fillId="10" borderId="6" xfId="12" applyNumberFormat="1" applyFont="1" applyFill="1" applyBorder="1" applyAlignment="1">
      <alignment horizontal="center"/>
    </xf>
    <xf numFmtId="166" fontId="46" fillId="10" borderId="6" xfId="12" applyNumberFormat="1" applyFont="1" applyFill="1" applyBorder="1" applyAlignment="1">
      <alignment horizontal="center"/>
    </xf>
    <xf numFmtId="166" fontId="47" fillId="10" borderId="7" xfId="12" applyNumberFormat="1" applyFont="1" applyFill="1" applyBorder="1" applyAlignment="1">
      <alignment horizontal="center"/>
    </xf>
    <xf numFmtId="0" fontId="47" fillId="0" borderId="0" xfId="9" applyFont="1" applyAlignment="1">
      <alignment horizontal="center"/>
    </xf>
    <xf numFmtId="166" fontId="47" fillId="0" borderId="0" xfId="12" applyNumberFormat="1" applyFont="1" applyFill="1" applyBorder="1" applyAlignment="1">
      <alignment horizontal="center"/>
    </xf>
    <xf numFmtId="166" fontId="47" fillId="13" borderId="0" xfId="12" applyNumberFormat="1" applyFont="1" applyFill="1" applyBorder="1" applyAlignment="1">
      <alignment horizontal="center"/>
    </xf>
    <xf numFmtId="166" fontId="47" fillId="0" borderId="10" xfId="12" applyNumberFormat="1" applyFont="1" applyFill="1" applyBorder="1" applyAlignment="1">
      <alignment horizontal="center"/>
    </xf>
    <xf numFmtId="0" fontId="47" fillId="0" borderId="9" xfId="9" applyFont="1" applyBorder="1" applyAlignment="1">
      <alignment horizontal="left"/>
    </xf>
    <xf numFmtId="166" fontId="47" fillId="0" borderId="0" xfId="12" applyNumberFormat="1" applyFont="1" applyBorder="1" applyAlignment="1">
      <alignment horizontal="center"/>
    </xf>
    <xf numFmtId="0" fontId="23" fillId="9" borderId="0" xfId="9" applyFont="1" applyFill="1"/>
    <xf numFmtId="0" fontId="47" fillId="9" borderId="0" xfId="9" applyFont="1" applyFill="1" applyAlignment="1">
      <alignment horizontal="center"/>
    </xf>
    <xf numFmtId="166" fontId="23" fillId="0" borderId="0" xfId="12" applyNumberFormat="1" applyFont="1"/>
    <xf numFmtId="166" fontId="23" fillId="13" borderId="0" xfId="12" applyNumberFormat="1" applyFont="1" applyFill="1"/>
    <xf numFmtId="0" fontId="47" fillId="0" borderId="0" xfId="9" applyFont="1"/>
    <xf numFmtId="0" fontId="47" fillId="0" borderId="13" xfId="9" applyFont="1" applyBorder="1" applyAlignment="1">
      <alignment horizontal="center"/>
    </xf>
    <xf numFmtId="166" fontId="47" fillId="0" borderId="13" xfId="9" applyNumberFormat="1" applyFont="1" applyBorder="1"/>
    <xf numFmtId="166" fontId="47" fillId="13" borderId="13" xfId="9" applyNumberFormat="1" applyFont="1" applyFill="1" applyBorder="1"/>
    <xf numFmtId="166" fontId="54" fillId="0" borderId="13" xfId="9" applyNumberFormat="1" applyFont="1" applyBorder="1"/>
    <xf numFmtId="166" fontId="46" fillId="0" borderId="13" xfId="9" applyNumberFormat="1" applyFont="1" applyBorder="1"/>
    <xf numFmtId="41" fontId="19" fillId="0" borderId="1" xfId="18" applyNumberFormat="1" applyFont="1" applyBorder="1" applyAlignment="1">
      <alignment horizontal="center" vertical="center"/>
    </xf>
    <xf numFmtId="41" fontId="22" fillId="0" borderId="1" xfId="18" applyNumberFormat="1" applyFont="1" applyBorder="1" applyAlignment="1">
      <alignment horizontal="center" vertical="center"/>
    </xf>
    <xf numFmtId="41" fontId="19" fillId="11" borderId="1" xfId="18" applyNumberFormat="1" applyFont="1" applyFill="1" applyBorder="1" applyAlignment="1">
      <alignment horizontal="center" vertical="center"/>
    </xf>
    <xf numFmtId="41" fontId="19" fillId="0" borderId="1" xfId="18" applyNumberFormat="1" applyFont="1" applyFill="1" applyBorder="1" applyAlignment="1">
      <alignment horizontal="center" vertical="center"/>
    </xf>
    <xf numFmtId="41" fontId="19" fillId="14" borderId="1" xfId="18" applyNumberFormat="1" applyFont="1" applyFill="1" applyBorder="1" applyAlignment="1">
      <alignment horizontal="center" vertical="center"/>
    </xf>
    <xf numFmtId="41" fontId="19" fillId="10" borderId="1" xfId="18" applyNumberFormat="1" applyFont="1" applyFill="1" applyBorder="1" applyAlignment="1">
      <alignment horizontal="center" vertical="center"/>
    </xf>
    <xf numFmtId="170" fontId="26" fillId="0" borderId="0" xfId="0" applyNumberFormat="1" applyFont="1" applyAlignment="1">
      <alignment vertical="top"/>
    </xf>
    <xf numFmtId="164" fontId="26" fillId="0" borderId="0" xfId="1" applyNumberFormat="1" applyFont="1" applyAlignment="1">
      <alignment vertical="top"/>
    </xf>
    <xf numFmtId="166" fontId="47" fillId="10" borderId="0" xfId="12" applyNumberFormat="1" applyFont="1" applyFill="1" applyBorder="1" applyAlignment="1">
      <alignment horizontal="center"/>
    </xf>
    <xf numFmtId="1" fontId="9" fillId="10" borderId="1" xfId="10" applyNumberFormat="1" applyFont="1" applyFill="1" applyBorder="1" applyAlignment="1">
      <alignment horizontal="center" vertical="top" wrapText="1"/>
    </xf>
    <xf numFmtId="0" fontId="10" fillId="10" borderId="7" xfId="9" applyFont="1" applyFill="1" applyBorder="1"/>
    <xf numFmtId="0" fontId="23" fillId="10" borderId="10" xfId="9" applyFont="1" applyFill="1" applyBorder="1"/>
    <xf numFmtId="166" fontId="23" fillId="10" borderId="10" xfId="12" applyNumberFormat="1" applyFont="1" applyFill="1" applyBorder="1"/>
    <xf numFmtId="166" fontId="47" fillId="10" borderId="12" xfId="12" applyNumberFormat="1" applyFont="1" applyFill="1" applyBorder="1" applyAlignment="1">
      <alignment horizontal="center"/>
    </xf>
    <xf numFmtId="0" fontId="23" fillId="10" borderId="7" xfId="9" applyFont="1" applyFill="1" applyBorder="1"/>
    <xf numFmtId="166" fontId="47" fillId="10" borderId="10" xfId="12" applyNumberFormat="1" applyFont="1" applyFill="1" applyBorder="1" applyAlignment="1">
      <alignment horizontal="center"/>
    </xf>
    <xf numFmtId="166" fontId="47" fillId="10" borderId="11" xfId="12" applyNumberFormat="1" applyFont="1" applyFill="1" applyBorder="1" applyAlignment="1">
      <alignment horizontal="center"/>
    </xf>
    <xf numFmtId="166" fontId="47" fillId="10" borderId="13" xfId="9" applyNumberFormat="1" applyFont="1" applyFill="1" applyBorder="1"/>
    <xf numFmtId="1" fontId="24" fillId="0" borderId="0" xfId="19" applyNumberFormat="1" applyFont="1" applyFill="1" applyAlignment="1">
      <alignment horizontal="left" vertical="top" wrapText="1"/>
    </xf>
    <xf numFmtId="179" fontId="24" fillId="0" borderId="0" xfId="19" applyNumberFormat="1" applyFont="1" applyFill="1" applyAlignment="1">
      <alignment horizontal="left" vertical="top" wrapText="1"/>
    </xf>
    <xf numFmtId="1" fontId="25" fillId="0" borderId="0" xfId="19" applyNumberFormat="1" applyFont="1" applyFill="1" applyAlignment="1">
      <alignment horizontal="left" vertical="top" wrapText="1"/>
    </xf>
    <xf numFmtId="2" fontId="25" fillId="0" borderId="0" xfId="19" applyNumberFormat="1" applyFont="1" applyFill="1" applyAlignment="1">
      <alignment horizontal="left" vertical="top" wrapText="1"/>
    </xf>
    <xf numFmtId="164" fontId="25" fillId="0" borderId="0" xfId="1" applyNumberFormat="1" applyFont="1" applyFill="1" applyAlignment="1">
      <alignment horizontal="left" vertical="top" wrapText="1"/>
    </xf>
    <xf numFmtId="1" fontId="25" fillId="0" borderId="0" xfId="19" applyNumberFormat="1" applyFont="1" applyFill="1" applyAlignment="1">
      <alignment vertical="top" wrapText="1"/>
    </xf>
    <xf numFmtId="1" fontId="25" fillId="0" borderId="0" xfId="19" applyNumberFormat="1" applyFont="1" applyFill="1" applyBorder="1" applyAlignment="1">
      <alignment horizontal="left" vertical="top" wrapText="1"/>
    </xf>
    <xf numFmtId="1" fontId="25" fillId="0" borderId="0" xfId="19" applyNumberFormat="1" applyFont="1" applyFill="1" applyBorder="1" applyAlignment="1">
      <alignment horizontal="center" vertical="top" wrapText="1"/>
    </xf>
    <xf numFmtId="171" fontId="25" fillId="0" borderId="0" xfId="24" applyNumberFormat="1" applyFont="1" applyFill="1" applyAlignment="1">
      <alignment horizontal="left" vertical="top" wrapText="1"/>
    </xf>
    <xf numFmtId="1" fontId="25" fillId="0" borderId="0" xfId="19" applyNumberFormat="1" applyFont="1" applyFill="1" applyAlignment="1">
      <alignment horizontal="center" vertical="top" wrapText="1"/>
    </xf>
    <xf numFmtId="164" fontId="25" fillId="0" borderId="27" xfId="19" applyNumberFormat="1" applyFont="1" applyFill="1" applyBorder="1" applyAlignment="1">
      <alignment horizontal="center" vertical="top" wrapText="1"/>
    </xf>
    <xf numFmtId="169" fontId="25" fillId="0" borderId="27" xfId="19" applyNumberFormat="1" applyFont="1" applyFill="1" applyBorder="1" applyAlignment="1">
      <alignment horizontal="center" vertical="top" wrapText="1"/>
    </xf>
    <xf numFmtId="170" fontId="25" fillId="0" borderId="27" xfId="19" applyNumberFormat="1" applyFont="1" applyFill="1" applyBorder="1" applyAlignment="1">
      <alignment horizontal="left" vertical="top" wrapText="1"/>
    </xf>
    <xf numFmtId="178" fontId="25" fillId="0" borderId="27" xfId="19" applyNumberFormat="1" applyFont="1" applyFill="1" applyBorder="1" applyAlignment="1">
      <alignment horizontal="left" vertical="top" wrapText="1"/>
    </xf>
    <xf numFmtId="167" fontId="25" fillId="0" borderId="27" xfId="19" applyNumberFormat="1" applyFont="1" applyFill="1" applyBorder="1" applyAlignment="1">
      <alignment horizontal="left" vertical="top" wrapText="1"/>
    </xf>
    <xf numFmtId="1" fontId="25" fillId="0" borderId="27" xfId="19" applyNumberFormat="1" applyFont="1" applyFill="1" applyBorder="1" applyAlignment="1">
      <alignment horizontal="center" vertical="top" wrapText="1"/>
    </xf>
    <xf numFmtId="167" fontId="25" fillId="0" borderId="27" xfId="19" applyNumberFormat="1" applyFont="1" applyFill="1" applyBorder="1" applyAlignment="1">
      <alignment vertical="top" wrapText="1"/>
    </xf>
    <xf numFmtId="164" fontId="25" fillId="0" borderId="27" xfId="1" applyNumberFormat="1" applyFont="1" applyFill="1" applyBorder="1" applyAlignment="1">
      <alignment horizontal="right" vertical="top" wrapText="1"/>
    </xf>
    <xf numFmtId="1" fontId="47" fillId="9" borderId="11" xfId="12" applyNumberFormat="1" applyFont="1" applyFill="1" applyBorder="1" applyAlignment="1">
      <alignment horizontal="center"/>
    </xf>
    <xf numFmtId="164" fontId="24" fillId="0" borderId="0" xfId="1" applyNumberFormat="1" applyFont="1" applyFill="1" applyBorder="1" applyAlignment="1">
      <alignment horizontal="center" vertical="top" wrapText="1"/>
    </xf>
    <xf numFmtId="170" fontId="25" fillId="0" borderId="0" xfId="19" applyNumberFormat="1" applyFont="1" applyFill="1" applyBorder="1" applyAlignment="1">
      <alignment horizontal="left" vertical="top"/>
    </xf>
    <xf numFmtId="178" fontId="25" fillId="0" borderId="0" xfId="19" applyNumberFormat="1" applyFont="1" applyFill="1" applyBorder="1" applyAlignment="1">
      <alignment horizontal="left" vertical="top"/>
    </xf>
    <xf numFmtId="0" fontId="25" fillId="0" borderId="0" xfId="19" applyNumberFormat="1" applyFont="1" applyFill="1" applyAlignment="1">
      <alignment horizontal="left" vertical="top" wrapText="1"/>
    </xf>
    <xf numFmtId="0" fontId="25" fillId="0" borderId="0" xfId="1" applyNumberFormat="1" applyFont="1" applyFill="1" applyAlignment="1">
      <alignment horizontal="left" vertical="top" wrapText="1"/>
    </xf>
    <xf numFmtId="0" fontId="25" fillId="0" borderId="0" xfId="0" applyFont="1" applyAlignment="1">
      <alignment horizontal="left" vertical="top"/>
    </xf>
    <xf numFmtId="1" fontId="25" fillId="0" borderId="0" xfId="19" applyNumberFormat="1" applyFont="1" applyFill="1" applyBorder="1" applyAlignment="1">
      <alignment horizontal="right" vertical="top" wrapText="1"/>
    </xf>
    <xf numFmtId="164" fontId="25" fillId="0" borderId="0" xfId="1" applyNumberFormat="1" applyFont="1" applyFill="1" applyAlignment="1">
      <alignment horizontal="right" vertical="top" wrapText="1"/>
    </xf>
    <xf numFmtId="164" fontId="24" fillId="0" borderId="0" xfId="1" applyNumberFormat="1" applyFont="1" applyAlignment="1">
      <alignment horizontal="right" vertical="top"/>
    </xf>
    <xf numFmtId="164" fontId="25" fillId="0" borderId="0" xfId="1" applyNumberFormat="1" applyFont="1" applyAlignment="1">
      <alignment horizontal="right" vertical="top"/>
    </xf>
    <xf numFmtId="164" fontId="25" fillId="0" borderId="0" xfId="1" applyNumberFormat="1" applyFont="1" applyFill="1" applyAlignment="1">
      <alignment horizontal="right" vertical="top"/>
    </xf>
    <xf numFmtId="0" fontId="25" fillId="0" borderId="0" xfId="11" applyFont="1" applyAlignment="1">
      <alignment vertical="top" wrapText="1"/>
    </xf>
    <xf numFmtId="0" fontId="25" fillId="0" borderId="0" xfId="11" applyFont="1" applyAlignment="1">
      <alignment horizontal="right" vertical="top" wrapText="1"/>
    </xf>
    <xf numFmtId="164" fontId="25" fillId="0" borderId="0" xfId="1" applyNumberFormat="1" applyFont="1" applyFill="1" applyBorder="1" applyAlignment="1">
      <alignment horizontal="center" vertical="top" wrapText="1"/>
    </xf>
    <xf numFmtId="0" fontId="55" fillId="0" borderId="0" xfId="11" applyFont="1" applyAlignment="1">
      <alignment horizontal="left" vertical="top"/>
    </xf>
    <xf numFmtId="0" fontId="51" fillId="0" borderId="0" xfId="11" applyFont="1" applyAlignment="1">
      <alignment horizontal="left" vertical="top"/>
    </xf>
    <xf numFmtId="0" fontId="51" fillId="0" borderId="0" xfId="11" applyFont="1" applyAlignment="1">
      <alignment horizontal="center" vertical="top" wrapText="1"/>
    </xf>
    <xf numFmtId="14" fontId="51" fillId="0" borderId="0" xfId="11" applyNumberFormat="1" applyFont="1" applyAlignment="1">
      <alignment horizontal="left" vertical="top" wrapText="1"/>
    </xf>
    <xf numFmtId="0" fontId="55" fillId="0" borderId="0" xfId="11" applyFont="1" applyAlignment="1">
      <alignment horizontal="center" vertical="top" wrapText="1"/>
    </xf>
    <xf numFmtId="164" fontId="55" fillId="0" borderId="27" xfId="19" applyNumberFormat="1" applyFont="1" applyFill="1" applyBorder="1" applyAlignment="1">
      <alignment horizontal="center" vertical="top" wrapText="1"/>
    </xf>
    <xf numFmtId="0" fontId="55" fillId="0" borderId="27" xfId="19" applyNumberFormat="1" applyFont="1" applyFill="1" applyBorder="1" applyAlignment="1">
      <alignment horizontal="center" vertical="top" wrapText="1"/>
    </xf>
    <xf numFmtId="1" fontId="55" fillId="0" borderId="27" xfId="19" applyNumberFormat="1" applyFont="1" applyFill="1" applyBorder="1" applyAlignment="1">
      <alignment horizontal="center" vertical="top" wrapText="1"/>
    </xf>
    <xf numFmtId="164" fontId="51" fillId="0" borderId="27" xfId="19" applyNumberFormat="1" applyFont="1" applyFill="1" applyBorder="1" applyAlignment="1">
      <alignment horizontal="center" vertical="top"/>
    </xf>
    <xf numFmtId="14" fontId="51" fillId="0" borderId="27" xfId="19" applyNumberFormat="1" applyFont="1" applyFill="1" applyBorder="1" applyAlignment="1">
      <alignment horizontal="center" vertical="top" wrapText="1"/>
    </xf>
    <xf numFmtId="0" fontId="51" fillId="0" borderId="27" xfId="19" applyNumberFormat="1" applyFont="1" applyFill="1" applyBorder="1" applyAlignment="1">
      <alignment horizontal="left" vertical="top"/>
    </xf>
    <xf numFmtId="0" fontId="51" fillId="0" borderId="27" xfId="19" applyNumberFormat="1" applyFont="1" applyFill="1" applyBorder="1" applyAlignment="1">
      <alignment horizontal="left" vertical="top" wrapText="1"/>
    </xf>
    <xf numFmtId="167" fontId="55" fillId="0" borderId="27" xfId="19" applyNumberFormat="1" applyFont="1" applyFill="1" applyBorder="1" applyAlignment="1">
      <alignment horizontal="left" vertical="top"/>
    </xf>
    <xf numFmtId="167" fontId="51" fillId="0" borderId="27" xfId="19" applyNumberFormat="1" applyFont="1" applyFill="1" applyBorder="1" applyAlignment="1">
      <alignment horizontal="left" vertical="top"/>
    </xf>
    <xf numFmtId="167" fontId="51" fillId="0" borderId="27" xfId="19" applyNumberFormat="1" applyFont="1" applyFill="1" applyBorder="1" applyAlignment="1">
      <alignment horizontal="center" vertical="top"/>
    </xf>
    <xf numFmtId="167" fontId="51" fillId="0" borderId="0" xfId="19" applyNumberFormat="1" applyFont="1" applyFill="1" applyBorder="1" applyAlignment="1">
      <alignment horizontal="left" vertical="top"/>
    </xf>
    <xf numFmtId="0" fontId="51" fillId="0" borderId="0" xfId="19" applyNumberFormat="1" applyFont="1" applyFill="1" applyBorder="1" applyAlignment="1">
      <alignment horizontal="left" vertical="top"/>
    </xf>
    <xf numFmtId="167" fontId="51" fillId="0" borderId="0" xfId="19" applyNumberFormat="1" applyFont="1" applyFill="1" applyBorder="1" applyAlignment="1">
      <alignment horizontal="center" vertical="top"/>
    </xf>
    <xf numFmtId="167" fontId="51" fillId="0" borderId="27" xfId="19" quotePrefix="1" applyNumberFormat="1" applyFont="1" applyFill="1" applyBorder="1" applyAlignment="1">
      <alignment horizontal="left" vertical="top"/>
    </xf>
    <xf numFmtId="1" fontId="51" fillId="0" borderId="27" xfId="19" applyNumberFormat="1" applyFont="1" applyFill="1" applyBorder="1" applyAlignment="1">
      <alignment horizontal="center" vertical="top"/>
    </xf>
    <xf numFmtId="167" fontId="55" fillId="0" borderId="28" xfId="19" applyNumberFormat="1" applyFont="1" applyFill="1" applyBorder="1" applyAlignment="1">
      <alignment horizontal="left" vertical="top"/>
    </xf>
    <xf numFmtId="167" fontId="55" fillId="0" borderId="44" xfId="19" applyNumberFormat="1" applyFont="1" applyFill="1" applyBorder="1" applyAlignment="1">
      <alignment horizontal="left" vertical="top"/>
    </xf>
    <xf numFmtId="167" fontId="51" fillId="0" borderId="44" xfId="19" applyNumberFormat="1" applyFont="1" applyFill="1" applyBorder="1" applyAlignment="1">
      <alignment horizontal="left" vertical="top"/>
    </xf>
    <xf numFmtId="167" fontId="51" fillId="0" borderId="44" xfId="19" applyNumberFormat="1" applyFont="1" applyFill="1" applyBorder="1" applyAlignment="1">
      <alignment horizontal="center" vertical="top"/>
    </xf>
    <xf numFmtId="167" fontId="55" fillId="0" borderId="0" xfId="19" applyNumberFormat="1" applyFont="1" applyFill="1" applyAlignment="1">
      <alignment horizontal="left" vertical="top"/>
    </xf>
    <xf numFmtId="164" fontId="51" fillId="0" borderId="0" xfId="19" applyNumberFormat="1" applyFont="1" applyFill="1" applyBorder="1" applyAlignment="1">
      <alignment horizontal="center" vertical="top"/>
    </xf>
    <xf numFmtId="0" fontId="56" fillId="0" borderId="0" xfId="11" applyFont="1" applyAlignment="1">
      <alignment horizontal="left" vertical="top"/>
    </xf>
    <xf numFmtId="0" fontId="57" fillId="0" borderId="0" xfId="11" applyFont="1" applyAlignment="1">
      <alignment horizontal="left" vertical="top"/>
    </xf>
    <xf numFmtId="0" fontId="57" fillId="0" borderId="0" xfId="11" applyFont="1" applyAlignment="1">
      <alignment horizontal="center" vertical="top"/>
    </xf>
    <xf numFmtId="0" fontId="57" fillId="0" borderId="0" xfId="11" applyFont="1" applyAlignment="1">
      <alignment horizontal="center" vertical="top" wrapText="1"/>
    </xf>
    <xf numFmtId="14" fontId="57" fillId="0" borderId="0" xfId="11" applyNumberFormat="1" applyFont="1" applyAlignment="1">
      <alignment horizontal="left" vertical="top"/>
    </xf>
    <xf numFmtId="14" fontId="57" fillId="0" borderId="0" xfId="11" applyNumberFormat="1" applyFont="1" applyAlignment="1">
      <alignment horizontal="left" vertical="top" wrapText="1"/>
    </xf>
    <xf numFmtId="1" fontId="57" fillId="0" borderId="0" xfId="19" applyNumberFormat="1" applyFont="1" applyFill="1" applyAlignment="1">
      <alignment horizontal="left" vertical="top"/>
    </xf>
    <xf numFmtId="1" fontId="56" fillId="0" borderId="0" xfId="19" applyNumberFormat="1" applyFont="1" applyFill="1" applyAlignment="1">
      <alignment horizontal="left" vertical="top"/>
    </xf>
    <xf numFmtId="164" fontId="57" fillId="0" borderId="0" xfId="1" applyNumberFormat="1" applyFont="1" applyFill="1" applyAlignment="1">
      <alignment horizontal="left" vertical="top"/>
    </xf>
    <xf numFmtId="1" fontId="57" fillId="0" borderId="0" xfId="19" applyNumberFormat="1" applyFont="1" applyFill="1" applyAlignment="1">
      <alignment horizontal="center" vertical="top"/>
    </xf>
    <xf numFmtId="1" fontId="57" fillId="0" borderId="0" xfId="19" applyNumberFormat="1" applyFont="1" applyFill="1" applyBorder="1" applyAlignment="1">
      <alignment horizontal="left" vertical="top"/>
    </xf>
    <xf numFmtId="0" fontId="56" fillId="0" borderId="0" xfId="11" applyFont="1" applyAlignment="1">
      <alignment horizontal="center" vertical="top"/>
    </xf>
    <xf numFmtId="0" fontId="57" fillId="0" borderId="0" xfId="11" applyFont="1" applyAlignment="1">
      <alignment horizontal="left" vertical="top" wrapText="1"/>
    </xf>
    <xf numFmtId="4" fontId="57" fillId="0" borderId="0" xfId="0" applyNumberFormat="1" applyFont="1"/>
    <xf numFmtId="3" fontId="57" fillId="0" borderId="0" xfId="0" applyNumberFormat="1" applyFont="1"/>
    <xf numFmtId="0" fontId="57" fillId="0" borderId="0" xfId="11" applyFont="1" applyAlignment="1">
      <alignment vertical="top"/>
    </xf>
    <xf numFmtId="0" fontId="58" fillId="0" borderId="0" xfId="11" applyFont="1" applyAlignment="1">
      <alignment horizontal="center" vertical="top"/>
    </xf>
    <xf numFmtId="0" fontId="58" fillId="0" borderId="0" xfId="11" applyFont="1" applyAlignment="1">
      <alignment horizontal="center" vertical="top" wrapText="1"/>
    </xf>
    <xf numFmtId="1" fontId="58" fillId="0" borderId="0" xfId="19" applyNumberFormat="1" applyFont="1" applyFill="1" applyBorder="1" applyAlignment="1">
      <alignment horizontal="left" vertical="top"/>
    </xf>
    <xf numFmtId="0" fontId="58" fillId="0" borderId="0" xfId="11" applyFont="1" applyAlignment="1">
      <alignment horizontal="left" vertical="top"/>
    </xf>
    <xf numFmtId="0" fontId="56" fillId="0" borderId="0" xfId="11" applyFont="1" applyAlignment="1">
      <alignment horizontal="center" vertical="top" wrapText="1"/>
    </xf>
    <xf numFmtId="164" fontId="56" fillId="0" borderId="27" xfId="19" applyNumberFormat="1" applyFont="1" applyFill="1" applyBorder="1" applyAlignment="1">
      <alignment horizontal="center" vertical="top" wrapText="1"/>
    </xf>
    <xf numFmtId="164" fontId="56" fillId="0" borderId="27" xfId="19" applyNumberFormat="1" applyFont="1" applyFill="1" applyBorder="1" applyAlignment="1">
      <alignment horizontal="center" vertical="top"/>
    </xf>
    <xf numFmtId="0" fontId="56" fillId="0" borderId="27" xfId="19" applyNumberFormat="1" applyFont="1" applyFill="1" applyBorder="1" applyAlignment="1">
      <alignment horizontal="center" vertical="top" wrapText="1"/>
    </xf>
    <xf numFmtId="1" fontId="56" fillId="0" borderId="27" xfId="19" applyNumberFormat="1" applyFont="1" applyFill="1" applyBorder="1" applyAlignment="1">
      <alignment horizontal="center" vertical="top" wrapText="1"/>
    </xf>
    <xf numFmtId="1" fontId="56" fillId="13" borderId="27" xfId="19" applyNumberFormat="1" applyFont="1" applyFill="1" applyBorder="1" applyAlignment="1">
      <alignment horizontal="center" vertical="top" wrapText="1"/>
    </xf>
    <xf numFmtId="1" fontId="56" fillId="0" borderId="43" xfId="19" applyNumberFormat="1" applyFont="1" applyFill="1" applyBorder="1" applyAlignment="1">
      <alignment horizontal="center" vertical="top" wrapText="1"/>
    </xf>
    <xf numFmtId="1" fontId="56" fillId="0" borderId="0" xfId="19" applyNumberFormat="1" applyFont="1" applyFill="1" applyBorder="1" applyAlignment="1">
      <alignment horizontal="center" vertical="top" wrapText="1"/>
    </xf>
    <xf numFmtId="167" fontId="57" fillId="0" borderId="0" xfId="19" applyNumberFormat="1" applyFont="1" applyFill="1" applyBorder="1" applyAlignment="1">
      <alignment horizontal="left" vertical="top"/>
    </xf>
    <xf numFmtId="1" fontId="57" fillId="0" borderId="0" xfId="19" applyNumberFormat="1" applyFont="1" applyFill="1" applyBorder="1" applyAlignment="1">
      <alignment horizontal="center" vertical="top"/>
    </xf>
    <xf numFmtId="0" fontId="57" fillId="0" borderId="0" xfId="19" applyNumberFormat="1" applyFont="1" applyFill="1" applyBorder="1" applyAlignment="1">
      <alignment horizontal="left" vertical="top"/>
    </xf>
    <xf numFmtId="167" fontId="56" fillId="0" borderId="0" xfId="19" applyNumberFormat="1" applyFont="1" applyFill="1" applyAlignment="1">
      <alignment horizontal="left" vertical="top"/>
    </xf>
    <xf numFmtId="164" fontId="57" fillId="0" borderId="0" xfId="19" applyNumberFormat="1" applyFont="1" applyFill="1" applyBorder="1" applyAlignment="1">
      <alignment horizontal="center" vertical="top"/>
    </xf>
    <xf numFmtId="164" fontId="56" fillId="0" borderId="0" xfId="19" applyNumberFormat="1" applyFont="1" applyFill="1" applyAlignment="1">
      <alignment horizontal="center" vertical="top"/>
    </xf>
    <xf numFmtId="164" fontId="56" fillId="0" borderId="0" xfId="19" applyNumberFormat="1" applyFont="1" applyFill="1" applyAlignment="1">
      <alignment horizontal="center" vertical="top" wrapText="1"/>
    </xf>
    <xf numFmtId="164" fontId="56" fillId="0" borderId="0" xfId="19" applyNumberFormat="1" applyFont="1" applyFill="1" applyAlignment="1">
      <alignment horizontal="left" vertical="top"/>
    </xf>
    <xf numFmtId="0" fontId="56" fillId="0" borderId="0" xfId="19" applyNumberFormat="1" applyFont="1" applyFill="1" applyAlignment="1">
      <alignment horizontal="left" vertical="top" wrapText="1"/>
    </xf>
    <xf numFmtId="0" fontId="56" fillId="0" borderId="0" xfId="19" applyNumberFormat="1" applyFont="1" applyFill="1" applyAlignment="1">
      <alignment horizontal="left" vertical="top"/>
    </xf>
    <xf numFmtId="167" fontId="56" fillId="0" borderId="0" xfId="19" applyNumberFormat="1" applyFont="1" applyFill="1" applyAlignment="1">
      <alignment horizontal="center" vertical="top"/>
    </xf>
    <xf numFmtId="1" fontId="57" fillId="0" borderId="0" xfId="19" applyNumberFormat="1" applyFont="1" applyFill="1" applyBorder="1" applyAlignment="1">
      <alignment horizontal="right" vertical="top"/>
    </xf>
    <xf numFmtId="41" fontId="57" fillId="0" borderId="0" xfId="1" applyNumberFormat="1" applyFont="1" applyFill="1" applyBorder="1" applyAlignment="1">
      <alignment horizontal="left" vertical="top"/>
    </xf>
    <xf numFmtId="1" fontId="56" fillId="0" borderId="0" xfId="19" applyNumberFormat="1" applyFont="1" applyFill="1" applyBorder="1" applyAlignment="1">
      <alignment horizontal="left" vertical="top"/>
    </xf>
    <xf numFmtId="41" fontId="57" fillId="0" borderId="0" xfId="1" applyNumberFormat="1" applyFont="1" applyFill="1" applyBorder="1" applyAlignment="1">
      <alignment horizontal="center" vertical="top"/>
    </xf>
    <xf numFmtId="164" fontId="57" fillId="0" borderId="0" xfId="19" applyNumberFormat="1" applyFont="1" applyFill="1" applyBorder="1" applyAlignment="1">
      <alignment horizontal="center" vertical="top" wrapText="1"/>
    </xf>
    <xf numFmtId="164" fontId="57" fillId="0" borderId="0" xfId="19" applyNumberFormat="1" applyFont="1" applyFill="1" applyBorder="1" applyAlignment="1">
      <alignment horizontal="left" vertical="top"/>
    </xf>
    <xf numFmtId="0" fontId="57" fillId="0" borderId="0" xfId="19" applyNumberFormat="1" applyFont="1" applyFill="1" applyBorder="1" applyAlignment="1">
      <alignment horizontal="left" vertical="top" wrapText="1"/>
    </xf>
    <xf numFmtId="0" fontId="57" fillId="0" borderId="0" xfId="11" applyFont="1"/>
    <xf numFmtId="41" fontId="56" fillId="0" borderId="6" xfId="1" applyNumberFormat="1" applyFont="1" applyFill="1" applyBorder="1" applyAlignment="1">
      <alignment horizontal="left" vertical="top"/>
    </xf>
    <xf numFmtId="41" fontId="56" fillId="0" borderId="6" xfId="1" applyNumberFormat="1" applyFont="1" applyFill="1" applyBorder="1" applyAlignment="1">
      <alignment horizontal="center" vertical="top"/>
    </xf>
    <xf numFmtId="0" fontId="59" fillId="0" borderId="0" xfId="11" applyFont="1" applyAlignment="1">
      <alignment horizontal="left" vertical="top"/>
    </xf>
    <xf numFmtId="0" fontId="60" fillId="0" borderId="0" xfId="11" applyFont="1" applyAlignment="1">
      <alignment horizontal="left" vertical="top"/>
    </xf>
    <xf numFmtId="0" fontId="60" fillId="0" borderId="0" xfId="11" applyFont="1" applyAlignment="1">
      <alignment horizontal="center" vertical="top"/>
    </xf>
    <xf numFmtId="0" fontId="60" fillId="0" borderId="0" xfId="11" applyFont="1" applyAlignment="1">
      <alignment horizontal="left" vertical="top" wrapText="1"/>
    </xf>
    <xf numFmtId="14" fontId="60" fillId="0" borderId="0" xfId="11" applyNumberFormat="1" applyFont="1" applyAlignment="1">
      <alignment horizontal="left" vertical="top"/>
    </xf>
    <xf numFmtId="14" fontId="60" fillId="0" borderId="0" xfId="11" applyNumberFormat="1" applyFont="1" applyAlignment="1">
      <alignment horizontal="left" vertical="top" wrapText="1"/>
    </xf>
    <xf numFmtId="1" fontId="60" fillId="0" borderId="0" xfId="19" applyNumberFormat="1" applyFont="1" applyFill="1" applyAlignment="1">
      <alignment horizontal="left" vertical="top"/>
    </xf>
    <xf numFmtId="1" fontId="59" fillId="0" borderId="0" xfId="19" applyNumberFormat="1" applyFont="1" applyFill="1" applyAlignment="1">
      <alignment horizontal="left" vertical="top"/>
    </xf>
    <xf numFmtId="164" fontId="60" fillId="0" borderId="0" xfId="1" applyNumberFormat="1" applyFont="1" applyFill="1" applyAlignment="1">
      <alignment horizontal="left" vertical="top"/>
    </xf>
    <xf numFmtId="0" fontId="59" fillId="0" borderId="0" xfId="11" applyFont="1" applyAlignment="1">
      <alignment horizontal="center" vertical="top"/>
    </xf>
    <xf numFmtId="0" fontId="59" fillId="0" borderId="0" xfId="11" applyFont="1" applyAlignment="1">
      <alignment horizontal="center" vertical="top" wrapText="1"/>
    </xf>
    <xf numFmtId="0" fontId="60" fillId="0" borderId="0" xfId="11" applyFont="1" applyAlignment="1">
      <alignment vertical="top"/>
    </xf>
    <xf numFmtId="0" fontId="60" fillId="0" borderId="0" xfId="11" applyFont="1" applyAlignment="1">
      <alignment horizontal="center" vertical="top" wrapText="1"/>
    </xf>
    <xf numFmtId="164" fontId="59" fillId="0" borderId="27" xfId="19" applyNumberFormat="1" applyFont="1" applyFill="1" applyBorder="1" applyAlignment="1">
      <alignment horizontal="center" vertical="top" wrapText="1"/>
    </xf>
    <xf numFmtId="0" fontId="59" fillId="0" borderId="27" xfId="19" applyNumberFormat="1" applyFont="1" applyFill="1" applyBorder="1" applyAlignment="1">
      <alignment horizontal="center" vertical="top" wrapText="1"/>
    </xf>
    <xf numFmtId="1" fontId="59" fillId="0" borderId="27" xfId="19" applyNumberFormat="1" applyFont="1" applyFill="1" applyBorder="1" applyAlignment="1">
      <alignment horizontal="center" vertical="top" wrapText="1"/>
    </xf>
    <xf numFmtId="1" fontId="59" fillId="13" borderId="27" xfId="19" applyNumberFormat="1" applyFont="1" applyFill="1" applyBorder="1" applyAlignment="1">
      <alignment horizontal="center" vertical="top" wrapText="1"/>
    </xf>
    <xf numFmtId="1" fontId="60" fillId="0" borderId="27" xfId="19" applyNumberFormat="1" applyFont="1" applyFill="1" applyBorder="1" applyAlignment="1">
      <alignment horizontal="center" vertical="top"/>
    </xf>
    <xf numFmtId="164" fontId="60" fillId="0" borderId="27" xfId="19" applyNumberFormat="1" applyFont="1" applyFill="1" applyBorder="1" applyAlignment="1">
      <alignment horizontal="center" vertical="top"/>
    </xf>
    <xf numFmtId="0" fontId="60" fillId="0" borderId="27" xfId="19" applyNumberFormat="1" applyFont="1" applyFill="1" applyBorder="1" applyAlignment="1">
      <alignment horizontal="left" vertical="top"/>
    </xf>
    <xf numFmtId="167" fontId="60" fillId="0" borderId="27" xfId="19" applyNumberFormat="1" applyFont="1" applyFill="1" applyBorder="1" applyAlignment="1">
      <alignment horizontal="left" vertical="top"/>
    </xf>
    <xf numFmtId="164" fontId="60" fillId="0" borderId="0" xfId="19" applyNumberFormat="1" applyFont="1" applyFill="1" applyBorder="1" applyAlignment="1">
      <alignment horizontal="center" vertical="top"/>
    </xf>
    <xf numFmtId="0" fontId="60" fillId="0" borderId="0" xfId="19" applyNumberFormat="1" applyFont="1" applyFill="1" applyBorder="1" applyAlignment="1">
      <alignment horizontal="left" vertical="top"/>
    </xf>
    <xf numFmtId="167" fontId="59" fillId="0" borderId="0" xfId="19" applyNumberFormat="1" applyFont="1" applyFill="1" applyAlignment="1">
      <alignment horizontal="left" vertical="top"/>
    </xf>
    <xf numFmtId="164" fontId="59" fillId="0" borderId="0" xfId="19" applyNumberFormat="1" applyFont="1" applyFill="1" applyAlignment="1">
      <alignment horizontal="center" vertical="top"/>
    </xf>
    <xf numFmtId="164" fontId="59" fillId="0" borderId="0" xfId="19" applyNumberFormat="1" applyFont="1" applyFill="1" applyAlignment="1">
      <alignment horizontal="center" vertical="top" wrapText="1"/>
    </xf>
    <xf numFmtId="164" fontId="59" fillId="0" borderId="0" xfId="19" applyNumberFormat="1" applyFont="1" applyFill="1" applyAlignment="1">
      <alignment horizontal="left" vertical="top"/>
    </xf>
    <xf numFmtId="0" fontId="59" fillId="0" borderId="0" xfId="19" applyNumberFormat="1" applyFont="1" applyFill="1" applyAlignment="1">
      <alignment horizontal="left" vertical="top"/>
    </xf>
    <xf numFmtId="1" fontId="60" fillId="0" borderId="0" xfId="19" applyNumberFormat="1" applyFont="1" applyFill="1" applyBorder="1" applyAlignment="1">
      <alignment horizontal="right" vertical="top"/>
    </xf>
    <xf numFmtId="41" fontId="60" fillId="0" borderId="0" xfId="1" applyNumberFormat="1" applyFont="1" applyFill="1" applyBorder="1" applyAlignment="1">
      <alignment horizontal="left" vertical="top"/>
    </xf>
    <xf numFmtId="1" fontId="60" fillId="0" borderId="0" xfId="19" applyNumberFormat="1" applyFont="1" applyFill="1" applyBorder="1" applyAlignment="1">
      <alignment horizontal="left" vertical="top"/>
    </xf>
    <xf numFmtId="1" fontId="59" fillId="0" borderId="0" xfId="19" applyNumberFormat="1" applyFont="1" applyFill="1" applyBorder="1" applyAlignment="1">
      <alignment horizontal="left" vertical="top"/>
    </xf>
    <xf numFmtId="164" fontId="60" fillId="0" borderId="0" xfId="19" applyNumberFormat="1" applyFont="1" applyFill="1" applyBorder="1" applyAlignment="1">
      <alignment horizontal="center" vertical="top" wrapText="1"/>
    </xf>
    <xf numFmtId="164" fontId="60" fillId="0" borderId="0" xfId="19" applyNumberFormat="1" applyFont="1" applyFill="1" applyBorder="1" applyAlignment="1">
      <alignment horizontal="left" vertical="top"/>
    </xf>
    <xf numFmtId="0" fontId="60" fillId="0" borderId="0" xfId="19" applyNumberFormat="1" applyFont="1" applyFill="1" applyBorder="1" applyAlignment="1">
      <alignment horizontal="left" vertical="top" wrapText="1"/>
    </xf>
    <xf numFmtId="167" fontId="60" fillId="0" borderId="0" xfId="19" applyNumberFormat="1" applyFont="1" applyFill="1" applyBorder="1" applyAlignment="1">
      <alignment horizontal="left" vertical="top"/>
    </xf>
    <xf numFmtId="0" fontId="60" fillId="0" borderId="0" xfId="11" applyFont="1"/>
    <xf numFmtId="0" fontId="60" fillId="0" borderId="0" xfId="0" applyFont="1"/>
    <xf numFmtId="164" fontId="25" fillId="0" borderId="0" xfId="19" applyNumberFormat="1" applyFont="1" applyFill="1" applyBorder="1" applyAlignment="1">
      <alignment horizontal="center" vertical="top" wrapText="1"/>
    </xf>
    <xf numFmtId="0" fontId="25" fillId="0" borderId="0" xfId="0" applyFont="1" applyAlignment="1">
      <alignment vertical="top" wrapText="1"/>
    </xf>
    <xf numFmtId="0" fontId="25" fillId="0" borderId="0" xfId="19" applyNumberFormat="1" applyFont="1" applyFill="1" applyAlignment="1">
      <alignment vertical="top" wrapText="1"/>
    </xf>
    <xf numFmtId="0" fontId="53" fillId="0" borderId="0" xfId="0" applyFont="1" applyAlignment="1">
      <alignment horizontal="center" vertical="center"/>
    </xf>
    <xf numFmtId="170" fontId="41" fillId="0" borderId="0" xfId="19" applyNumberFormat="1" applyFont="1" applyFill="1" applyBorder="1" applyAlignment="1">
      <alignment horizontal="left" vertical="top"/>
    </xf>
    <xf numFmtId="178" fontId="41" fillId="0" borderId="0" xfId="19" applyNumberFormat="1" applyFont="1" applyFill="1" applyBorder="1" applyAlignment="1">
      <alignment horizontal="left" vertical="top"/>
    </xf>
    <xf numFmtId="169" fontId="24" fillId="0" borderId="0" xfId="19" applyNumberFormat="1" applyFont="1" applyFill="1" applyBorder="1" applyAlignment="1">
      <alignment horizontal="center" vertical="top" wrapText="1"/>
    </xf>
    <xf numFmtId="164" fontId="24" fillId="0" borderId="0" xfId="19" applyNumberFormat="1" applyFont="1" applyFill="1" applyBorder="1" applyAlignment="1">
      <alignment horizontal="center" vertical="top" wrapText="1"/>
    </xf>
    <xf numFmtId="170" fontId="25" fillId="0" borderId="0" xfId="19" applyNumberFormat="1" applyFont="1" applyFill="1" applyBorder="1" applyAlignment="1">
      <alignment horizontal="left" vertical="top" wrapText="1"/>
    </xf>
    <xf numFmtId="170" fontId="24" fillId="0" borderId="0" xfId="19" applyNumberFormat="1" applyFont="1" applyFill="1" applyBorder="1" applyAlignment="1">
      <alignment horizontal="left" vertical="top" wrapText="1"/>
    </xf>
    <xf numFmtId="164" fontId="25" fillId="0" borderId="0" xfId="1" applyNumberFormat="1" applyFont="1" applyFill="1" applyBorder="1" applyAlignment="1">
      <alignment horizontal="right" vertical="top" wrapText="1"/>
    </xf>
    <xf numFmtId="178" fontId="25" fillId="0" borderId="0" xfId="19" applyNumberFormat="1" applyFont="1" applyFill="1" applyBorder="1" applyAlignment="1">
      <alignment horizontal="left" vertical="top" wrapText="1"/>
    </xf>
    <xf numFmtId="167" fontId="25" fillId="0" borderId="0" xfId="19" applyNumberFormat="1" applyFont="1" applyFill="1" applyBorder="1" applyAlignment="1">
      <alignment horizontal="left" vertical="top" wrapText="1"/>
    </xf>
    <xf numFmtId="167" fontId="24" fillId="0" borderId="0" xfId="19" applyNumberFormat="1" applyFont="1" applyFill="1" applyBorder="1" applyAlignment="1">
      <alignment horizontal="left" vertical="top" wrapText="1"/>
    </xf>
    <xf numFmtId="167" fontId="25" fillId="0" borderId="0" xfId="19" applyNumberFormat="1" applyFont="1" applyFill="1" applyBorder="1" applyAlignment="1">
      <alignment vertical="top" wrapText="1"/>
    </xf>
    <xf numFmtId="0" fontId="58" fillId="0" borderId="0" xfId="11" applyFont="1" applyAlignment="1">
      <alignment vertical="top"/>
    </xf>
    <xf numFmtId="167" fontId="55" fillId="13" borderId="27" xfId="19" applyNumberFormat="1" applyFont="1" applyFill="1" applyBorder="1" applyAlignment="1">
      <alignment horizontal="left" vertical="top"/>
    </xf>
    <xf numFmtId="167" fontId="51" fillId="0" borderId="0" xfId="19" quotePrefix="1" applyNumberFormat="1" applyFont="1" applyFill="1" applyBorder="1" applyAlignment="1">
      <alignment horizontal="left" vertical="top"/>
    </xf>
    <xf numFmtId="1" fontId="51" fillId="0" borderId="0" xfId="19" applyNumberFormat="1" applyFont="1" applyFill="1" applyBorder="1" applyAlignment="1">
      <alignment horizontal="center" vertical="top"/>
    </xf>
    <xf numFmtId="0" fontId="51" fillId="13" borderId="0" xfId="11" applyFont="1" applyFill="1" applyAlignment="1">
      <alignment horizontal="left" vertical="top"/>
    </xf>
    <xf numFmtId="167" fontId="51" fillId="0" borderId="43" xfId="19" applyNumberFormat="1" applyFont="1" applyFill="1" applyBorder="1" applyAlignment="1">
      <alignment horizontal="left" vertical="top"/>
    </xf>
    <xf numFmtId="44" fontId="51" fillId="13" borderId="0" xfId="11" applyNumberFormat="1" applyFont="1" applyFill="1" applyAlignment="1">
      <alignment horizontal="left" vertical="top"/>
    </xf>
    <xf numFmtId="167" fontId="51" fillId="13" borderId="27" xfId="19" applyNumberFormat="1" applyFont="1" applyFill="1" applyBorder="1" applyAlignment="1">
      <alignment horizontal="left" vertical="top"/>
    </xf>
    <xf numFmtId="167" fontId="51" fillId="0" borderId="28" xfId="19" applyNumberFormat="1" applyFont="1" applyFill="1" applyBorder="1" applyAlignment="1">
      <alignment horizontal="left" vertical="top"/>
    </xf>
    <xf numFmtId="167" fontId="51" fillId="0" borderId="28" xfId="19" applyNumberFormat="1" applyFont="1" applyFill="1" applyBorder="1" applyAlignment="1">
      <alignment horizontal="center" vertical="top"/>
    </xf>
    <xf numFmtId="167" fontId="55" fillId="13" borderId="28" xfId="19" applyNumberFormat="1" applyFont="1" applyFill="1" applyBorder="1" applyAlignment="1">
      <alignment horizontal="left" vertical="top"/>
    </xf>
    <xf numFmtId="167" fontId="55" fillId="0" borderId="28" xfId="19" applyNumberFormat="1" applyFont="1" applyFill="1" applyBorder="1" applyAlignment="1">
      <alignment horizontal="center" vertical="top"/>
    </xf>
    <xf numFmtId="167" fontId="51" fillId="13" borderId="44" xfId="19" applyNumberFormat="1" applyFont="1" applyFill="1" applyBorder="1" applyAlignment="1">
      <alignment horizontal="left" vertical="top"/>
    </xf>
    <xf numFmtId="164" fontId="55" fillId="0" borderId="27" xfId="19" applyNumberFormat="1" applyFont="1" applyFill="1" applyBorder="1" applyAlignment="1">
      <alignment horizontal="center" vertical="top"/>
    </xf>
    <xf numFmtId="164" fontId="55" fillId="0" borderId="27" xfId="19" applyNumberFormat="1" applyFont="1" applyFill="1" applyBorder="1" applyAlignment="1">
      <alignment horizontal="left" vertical="top"/>
    </xf>
    <xf numFmtId="0" fontId="55" fillId="0" borderId="27" xfId="19" applyNumberFormat="1" applyFont="1" applyFill="1" applyBorder="1" applyAlignment="1">
      <alignment horizontal="left" vertical="top" wrapText="1"/>
    </xf>
    <xf numFmtId="0" fontId="55" fillId="0" borderId="27" xfId="19" applyNumberFormat="1" applyFont="1" applyFill="1" applyBorder="1" applyAlignment="1">
      <alignment horizontal="left" vertical="top"/>
    </xf>
    <xf numFmtId="167" fontId="55" fillId="0" borderId="6" xfId="19" applyNumberFormat="1" applyFont="1" applyFill="1" applyBorder="1" applyAlignment="1">
      <alignment horizontal="left" vertical="top"/>
    </xf>
    <xf numFmtId="167" fontId="55" fillId="0" borderId="6" xfId="19" applyNumberFormat="1" applyFont="1" applyFill="1" applyBorder="1" applyAlignment="1">
      <alignment horizontal="center" vertical="top"/>
    </xf>
    <xf numFmtId="14" fontId="60" fillId="0" borderId="27" xfId="19" applyNumberFormat="1" applyFont="1" applyFill="1" applyBorder="1" applyAlignment="1">
      <alignment horizontal="center" vertical="top"/>
    </xf>
    <xf numFmtId="0" fontId="59" fillId="0" borderId="0" xfId="19" applyNumberFormat="1" applyFont="1" applyFill="1" applyAlignment="1">
      <alignment horizontal="center" vertical="top"/>
    </xf>
    <xf numFmtId="169" fontId="25" fillId="0" borderId="27" xfId="19" quotePrefix="1" applyNumberFormat="1" applyFont="1" applyFill="1" applyBorder="1" applyAlignment="1">
      <alignment horizontal="center" vertical="top"/>
    </xf>
    <xf numFmtId="169" fontId="25" fillId="0" borderId="0" xfId="19" applyNumberFormat="1" applyFont="1" applyFill="1" applyBorder="1" applyAlignment="1">
      <alignment horizontal="center" vertical="top"/>
    </xf>
    <xf numFmtId="9" fontId="61" fillId="10" borderId="0" xfId="24" applyFont="1" applyFill="1" applyAlignment="1">
      <alignment horizontal="center" vertical="top"/>
    </xf>
    <xf numFmtId="9" fontId="61" fillId="9" borderId="4" xfId="24" applyFont="1" applyFill="1" applyBorder="1" applyAlignment="1">
      <alignment horizontal="center" vertical="top"/>
    </xf>
    <xf numFmtId="0" fontId="40" fillId="0" borderId="27" xfId="19" applyNumberFormat="1" applyFont="1" applyFill="1" applyBorder="1" applyAlignment="1">
      <alignment horizontal="center" vertical="top" wrapText="1"/>
    </xf>
    <xf numFmtId="1" fontId="40" fillId="0" borderId="27" xfId="19" applyNumberFormat="1" applyFont="1" applyFill="1" applyBorder="1" applyAlignment="1">
      <alignment horizontal="center" vertical="top" wrapText="1"/>
    </xf>
    <xf numFmtId="1" fontId="40" fillId="15" borderId="27" xfId="19" applyNumberFormat="1" applyFont="1" applyFill="1" applyBorder="1" applyAlignment="1">
      <alignment horizontal="center" vertical="top" wrapText="1"/>
    </xf>
    <xf numFmtId="0" fontId="40" fillId="0" borderId="0" xfId="11" applyFont="1" applyAlignment="1">
      <alignment horizontal="center" vertical="top" wrapText="1"/>
    </xf>
    <xf numFmtId="1" fontId="41" fillId="0" borderId="27" xfId="19" applyNumberFormat="1" applyFont="1" applyFill="1" applyBorder="1" applyAlignment="1">
      <alignment horizontal="center" vertical="top"/>
    </xf>
    <xf numFmtId="0" fontId="41" fillId="0" borderId="27" xfId="19" applyNumberFormat="1" applyFont="1" applyFill="1" applyBorder="1" applyAlignment="1">
      <alignment horizontal="left" vertical="top"/>
    </xf>
    <xf numFmtId="0" fontId="41" fillId="0" borderId="27" xfId="19" applyNumberFormat="1" applyFont="1" applyFill="1" applyBorder="1" applyAlignment="1">
      <alignment vertical="top"/>
    </xf>
    <xf numFmtId="167" fontId="41" fillId="0" borderId="27" xfId="19" applyNumberFormat="1" applyFont="1" applyFill="1" applyBorder="1" applyAlignment="1">
      <alignment horizontal="left" vertical="top"/>
    </xf>
    <xf numFmtId="167" fontId="41" fillId="0" borderId="27" xfId="19" applyNumberFormat="1" applyFont="1" applyFill="1" applyBorder="1" applyAlignment="1">
      <alignment vertical="top"/>
    </xf>
    <xf numFmtId="0" fontId="41" fillId="0" borderId="0" xfId="11" applyFont="1" applyAlignment="1">
      <alignment horizontal="left" vertical="top"/>
    </xf>
    <xf numFmtId="0" fontId="41" fillId="0" borderId="27" xfId="19" quotePrefix="1" applyNumberFormat="1" applyFont="1" applyFill="1" applyBorder="1" applyAlignment="1">
      <alignment vertical="top"/>
    </xf>
    <xf numFmtId="0" fontId="41" fillId="0" borderId="27" xfId="19" quotePrefix="1" applyNumberFormat="1" applyFont="1" applyFill="1" applyBorder="1" applyAlignment="1">
      <alignment horizontal="left" vertical="top"/>
    </xf>
    <xf numFmtId="0" fontId="41" fillId="0" borderId="0" xfId="19" applyNumberFormat="1" applyFont="1" applyFill="1" applyBorder="1" applyAlignment="1">
      <alignment horizontal="left" vertical="top" wrapText="1"/>
    </xf>
    <xf numFmtId="1" fontId="41" fillId="0" borderId="0" xfId="19" applyNumberFormat="1" applyFont="1" applyFill="1" applyBorder="1" applyAlignment="1">
      <alignment horizontal="center" vertical="top" wrapText="1"/>
    </xf>
    <xf numFmtId="167" fontId="41" fillId="0" borderId="0" xfId="19" applyNumberFormat="1" applyFont="1" applyFill="1" applyBorder="1" applyAlignment="1">
      <alignment horizontal="left" vertical="top" wrapText="1"/>
    </xf>
    <xf numFmtId="167" fontId="40" fillId="0" borderId="0" xfId="19" applyNumberFormat="1" applyFont="1" applyFill="1" applyBorder="1" applyAlignment="1">
      <alignment horizontal="left" vertical="top" wrapText="1"/>
    </xf>
    <xf numFmtId="167" fontId="41" fillId="0" borderId="0" xfId="19" applyNumberFormat="1" applyFont="1" applyFill="1" applyBorder="1" applyAlignment="1">
      <alignment vertical="top" wrapText="1"/>
    </xf>
    <xf numFmtId="0" fontId="41" fillId="0" borderId="0" xfId="0" applyFont="1" applyAlignment="1">
      <alignment vertical="top"/>
    </xf>
    <xf numFmtId="167" fontId="40" fillId="0" borderId="13" xfId="0" applyNumberFormat="1" applyFont="1" applyBorder="1" applyAlignment="1">
      <alignment horizontal="right" vertical="top"/>
    </xf>
    <xf numFmtId="0" fontId="41" fillId="0" borderId="0" xfId="0" applyFont="1" applyAlignment="1">
      <alignment horizontal="left" vertical="top"/>
    </xf>
    <xf numFmtId="1" fontId="41" fillId="0" borderId="0" xfId="19" applyNumberFormat="1" applyFont="1" applyFill="1" applyBorder="1" applyAlignment="1">
      <alignment horizontal="center" vertical="top"/>
    </xf>
    <xf numFmtId="0" fontId="25" fillId="0" borderId="0" xfId="0" applyFont="1" applyAlignment="1">
      <alignment horizontal="center" vertical="top" wrapText="1"/>
    </xf>
    <xf numFmtId="0" fontId="51" fillId="0" borderId="0" xfId="11" applyFont="1" applyAlignment="1">
      <alignment horizontal="left" vertical="top" wrapText="1"/>
    </xf>
    <xf numFmtId="169" fontId="51" fillId="0" borderId="27" xfId="19" applyNumberFormat="1" applyFont="1" applyFill="1" applyBorder="1" applyAlignment="1">
      <alignment horizontal="center" vertical="top" wrapText="1"/>
    </xf>
    <xf numFmtId="2" fontId="51" fillId="0" borderId="0" xfId="11" applyNumberFormat="1" applyFont="1" applyAlignment="1">
      <alignment horizontal="left" vertical="top" wrapText="1"/>
    </xf>
    <xf numFmtId="169" fontId="51" fillId="0" borderId="0" xfId="19" applyNumberFormat="1" applyFont="1" applyFill="1" applyBorder="1" applyAlignment="1">
      <alignment horizontal="center" vertical="top" wrapText="1"/>
    </xf>
    <xf numFmtId="0" fontId="55" fillId="0" borderId="0" xfId="11" applyFont="1" applyAlignment="1">
      <alignment horizontal="left" vertical="top" wrapText="1"/>
    </xf>
    <xf numFmtId="179" fontId="55" fillId="0" borderId="0" xfId="19" applyNumberFormat="1" applyFont="1" applyFill="1" applyAlignment="1">
      <alignment horizontal="left" vertical="top" wrapText="1"/>
    </xf>
    <xf numFmtId="1" fontId="51" fillId="0" borderId="0" xfId="19" applyNumberFormat="1" applyFont="1" applyFill="1" applyAlignment="1">
      <alignment horizontal="left" vertical="top" wrapText="1"/>
    </xf>
    <xf numFmtId="2" fontId="51" fillId="0" borderId="0" xfId="19" applyNumberFormat="1" applyFont="1" applyFill="1" applyAlignment="1">
      <alignment horizontal="left" vertical="top" wrapText="1"/>
    </xf>
    <xf numFmtId="164" fontId="51" fillId="0" borderId="0" xfId="1" applyNumberFormat="1" applyFont="1" applyFill="1" applyAlignment="1">
      <alignment horizontal="right" vertical="top" wrapText="1"/>
    </xf>
    <xf numFmtId="164" fontId="51" fillId="0" borderId="0" xfId="1" applyNumberFormat="1" applyFont="1" applyFill="1" applyAlignment="1">
      <alignment horizontal="left" vertical="top" wrapText="1"/>
    </xf>
    <xf numFmtId="4" fontId="51" fillId="0" borderId="0" xfId="0" applyNumberFormat="1" applyFont="1" applyAlignment="1">
      <alignment vertical="top" wrapText="1"/>
    </xf>
    <xf numFmtId="3" fontId="51" fillId="0" borderId="0" xfId="0" applyNumberFormat="1" applyFont="1" applyAlignment="1">
      <alignment vertical="top" wrapText="1"/>
    </xf>
    <xf numFmtId="0" fontId="51" fillId="0" borderId="0" xfId="11" applyFont="1" applyAlignment="1">
      <alignment vertical="top"/>
    </xf>
    <xf numFmtId="0" fontId="51" fillId="0" borderId="0" xfId="11" applyFont="1" applyAlignment="1">
      <alignment vertical="top" wrapText="1"/>
    </xf>
    <xf numFmtId="16" fontId="51" fillId="0" borderId="0" xfId="11" applyNumberFormat="1" applyFont="1" applyAlignment="1">
      <alignment horizontal="left" vertical="top" wrapText="1"/>
    </xf>
    <xf numFmtId="171" fontId="51" fillId="0" borderId="0" xfId="24" applyNumberFormat="1" applyFont="1" applyFill="1" applyAlignment="1">
      <alignment horizontal="left" vertical="top" wrapText="1"/>
    </xf>
    <xf numFmtId="0" fontId="51" fillId="0" borderId="27" xfId="11" applyFont="1" applyBorder="1" applyAlignment="1">
      <alignment horizontal="left" vertical="top" wrapText="1"/>
    </xf>
    <xf numFmtId="1" fontId="51" fillId="0" borderId="0" xfId="19" applyNumberFormat="1" applyFont="1" applyFill="1" applyAlignment="1">
      <alignment horizontal="center" vertical="top" wrapText="1"/>
    </xf>
    <xf numFmtId="0" fontId="51" fillId="0" borderId="0" xfId="11" applyFont="1" applyAlignment="1">
      <alignment horizontal="right" vertical="top" wrapText="1"/>
    </xf>
    <xf numFmtId="0" fontId="55" fillId="0" borderId="27" xfId="11" applyFont="1" applyBorder="1" applyAlignment="1">
      <alignment horizontal="center" vertical="top" wrapText="1"/>
    </xf>
    <xf numFmtId="164" fontId="55" fillId="0" borderId="27" xfId="1" applyNumberFormat="1" applyFont="1" applyFill="1" applyBorder="1" applyAlignment="1">
      <alignment horizontal="center" vertical="top" wrapText="1"/>
    </xf>
    <xf numFmtId="0" fontId="51" fillId="0" borderId="27" xfId="11" applyFont="1" applyBorder="1" applyAlignment="1">
      <alignment horizontal="left" vertical="top"/>
    </xf>
    <xf numFmtId="169" fontId="51" fillId="0" borderId="27" xfId="19" applyNumberFormat="1" applyFont="1" applyFill="1" applyBorder="1" applyAlignment="1">
      <alignment horizontal="center" vertical="top"/>
    </xf>
    <xf numFmtId="170" fontId="51" fillId="0" borderId="27" xfId="19" applyNumberFormat="1" applyFont="1" applyFill="1" applyBorder="1" applyAlignment="1">
      <alignment horizontal="left" vertical="top"/>
    </xf>
    <xf numFmtId="164" fontId="51" fillId="0" borderId="27" xfId="1" applyNumberFormat="1" applyFont="1" applyFill="1" applyBorder="1" applyAlignment="1">
      <alignment horizontal="right" vertical="top"/>
    </xf>
    <xf numFmtId="178" fontId="51" fillId="0" borderId="27" xfId="19" applyNumberFormat="1" applyFont="1" applyFill="1" applyBorder="1" applyAlignment="1">
      <alignment horizontal="left" vertical="top"/>
    </xf>
    <xf numFmtId="0" fontId="51" fillId="0" borderId="27" xfId="19" applyNumberFormat="1" applyFont="1" applyFill="1" applyBorder="1" applyAlignment="1">
      <alignment horizontal="center" vertical="top"/>
    </xf>
    <xf numFmtId="169" fontId="51" fillId="0" borderId="27" xfId="19" quotePrefix="1" applyNumberFormat="1" applyFont="1" applyFill="1" applyBorder="1" applyAlignment="1">
      <alignment horizontal="center" vertical="top" wrapText="1"/>
    </xf>
    <xf numFmtId="0" fontId="51" fillId="0" borderId="27" xfId="11" applyFont="1" applyBorder="1" applyAlignment="1">
      <alignment vertical="top"/>
    </xf>
    <xf numFmtId="0" fontId="51" fillId="0" borderId="27" xfId="11" applyFont="1" applyBorder="1" applyAlignment="1">
      <alignment horizontal="center" vertical="top"/>
    </xf>
    <xf numFmtId="164" fontId="51" fillId="0" borderId="0" xfId="19" applyNumberFormat="1" applyFont="1" applyFill="1" applyBorder="1" applyAlignment="1">
      <alignment horizontal="center" vertical="top" wrapText="1"/>
    </xf>
    <xf numFmtId="169" fontId="55" fillId="0" borderId="0" xfId="19" applyNumberFormat="1" applyFont="1" applyFill="1" applyBorder="1" applyAlignment="1">
      <alignment horizontal="center" vertical="top" wrapText="1"/>
    </xf>
    <xf numFmtId="164" fontId="55" fillId="0" borderId="0" xfId="19" applyNumberFormat="1" applyFont="1" applyFill="1" applyBorder="1" applyAlignment="1">
      <alignment horizontal="center" vertical="top" wrapText="1"/>
    </xf>
    <xf numFmtId="1" fontId="55" fillId="0" borderId="0" xfId="19" applyNumberFormat="1" applyFont="1" applyFill="1" applyBorder="1" applyAlignment="1">
      <alignment horizontal="center" vertical="top" wrapText="1"/>
    </xf>
    <xf numFmtId="0" fontId="51" fillId="0" borderId="0" xfId="19" applyNumberFormat="1" applyFont="1" applyFill="1" applyBorder="1" applyAlignment="1">
      <alignment horizontal="left" vertical="top" wrapText="1"/>
    </xf>
    <xf numFmtId="170" fontId="55" fillId="0" borderId="0" xfId="19" applyNumberFormat="1" applyFont="1" applyFill="1" applyBorder="1" applyAlignment="1">
      <alignment horizontal="left" vertical="top" wrapText="1"/>
    </xf>
    <xf numFmtId="170" fontId="51" fillId="0" borderId="0" xfId="19" applyNumberFormat="1" applyFont="1" applyFill="1" applyBorder="1" applyAlignment="1">
      <alignment horizontal="left" vertical="top" wrapText="1"/>
    </xf>
    <xf numFmtId="164" fontId="51" fillId="0" borderId="0" xfId="1" applyNumberFormat="1" applyFont="1" applyFill="1" applyBorder="1" applyAlignment="1">
      <alignment horizontal="right" vertical="top" wrapText="1"/>
    </xf>
    <xf numFmtId="178" fontId="51" fillId="0" borderId="0" xfId="19" applyNumberFormat="1" applyFont="1" applyFill="1" applyBorder="1" applyAlignment="1">
      <alignment horizontal="left" vertical="top" wrapText="1"/>
    </xf>
    <xf numFmtId="0" fontId="51" fillId="0" borderId="0" xfId="0" applyFont="1" applyAlignment="1">
      <alignment vertical="top"/>
    </xf>
    <xf numFmtId="0" fontId="51" fillId="0" borderId="0" xfId="0" applyFont="1" applyAlignment="1">
      <alignment horizontal="center" vertical="top" wrapText="1"/>
    </xf>
    <xf numFmtId="0" fontId="51" fillId="0" borderId="0" xfId="0" applyFont="1" applyAlignment="1">
      <alignment horizontal="center" vertical="top"/>
    </xf>
    <xf numFmtId="167" fontId="55" fillId="0" borderId="13" xfId="0" applyNumberFormat="1" applyFont="1" applyBorder="1" applyAlignment="1">
      <alignment horizontal="right" vertical="top"/>
    </xf>
    <xf numFmtId="170" fontId="51" fillId="0" borderId="0" xfId="19" applyNumberFormat="1" applyFont="1" applyFill="1" applyBorder="1" applyAlignment="1">
      <alignment horizontal="left" vertical="top"/>
    </xf>
    <xf numFmtId="167" fontId="55" fillId="0" borderId="0" xfId="0" applyNumberFormat="1" applyFont="1" applyAlignment="1">
      <alignment vertical="top"/>
    </xf>
    <xf numFmtId="178" fontId="51" fillId="0" borderId="0" xfId="19" applyNumberFormat="1" applyFont="1" applyFill="1" applyBorder="1" applyAlignment="1">
      <alignment horizontal="left" vertical="top"/>
    </xf>
    <xf numFmtId="0" fontId="47" fillId="0" borderId="4" xfId="9" applyFont="1" applyBorder="1"/>
    <xf numFmtId="164" fontId="24" fillId="0" borderId="0" xfId="1" applyNumberFormat="1" applyFont="1" applyFill="1" applyAlignment="1">
      <alignment horizontal="right" vertical="top"/>
    </xf>
    <xf numFmtId="0" fontId="59" fillId="0" borderId="0" xfId="19" applyNumberFormat="1" applyFont="1" applyFill="1" applyAlignment="1">
      <alignment horizontal="left" vertical="top" wrapText="1"/>
    </xf>
    <xf numFmtId="14" fontId="0" fillId="0" borderId="0" xfId="0" applyNumberFormat="1"/>
    <xf numFmtId="0" fontId="24" fillId="0" borderId="0" xfId="19" applyNumberFormat="1" applyFont="1" applyFill="1" applyBorder="1" applyAlignment="1">
      <alignment horizontal="left" vertical="top" wrapText="1"/>
    </xf>
    <xf numFmtId="169" fontId="25" fillId="0" borderId="0" xfId="19" quotePrefix="1" applyNumberFormat="1" applyFont="1" applyFill="1" applyBorder="1" applyAlignment="1">
      <alignment horizontal="center" vertical="top"/>
    </xf>
    <xf numFmtId="0" fontId="25" fillId="0" borderId="27" xfId="19" quotePrefix="1" applyNumberFormat="1" applyFont="1" applyFill="1" applyBorder="1" applyAlignment="1">
      <alignment horizontal="left" vertical="top" wrapText="1"/>
    </xf>
    <xf numFmtId="0" fontId="62" fillId="0" borderId="0" xfId="0" applyFont="1" applyAlignment="1">
      <alignment vertical="top"/>
    </xf>
    <xf numFmtId="165" fontId="51" fillId="0" borderId="0" xfId="1" applyFont="1" applyAlignment="1">
      <alignment vertical="top"/>
    </xf>
    <xf numFmtId="165" fontId="55" fillId="0" borderId="6" xfId="1" applyFont="1" applyBorder="1" applyAlignment="1">
      <alignment vertical="top"/>
    </xf>
    <xf numFmtId="167" fontId="40" fillId="0" borderId="27" xfId="19" applyNumberFormat="1" applyFont="1" applyFill="1" applyBorder="1" applyAlignment="1">
      <alignment horizontal="left" vertical="top"/>
    </xf>
    <xf numFmtId="164" fontId="41" fillId="0" borderId="0" xfId="11" applyNumberFormat="1" applyFont="1" applyAlignment="1">
      <alignment horizontal="left" vertical="top"/>
    </xf>
    <xf numFmtId="167" fontId="63" fillId="0" borderId="27" xfId="19" applyNumberFormat="1" applyFont="1" applyFill="1" applyBorder="1" applyAlignment="1">
      <alignment horizontal="left" vertical="top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center" vertical="top" wrapText="1"/>
    </xf>
    <xf numFmtId="0" fontId="25" fillId="0" borderId="0" xfId="11" applyFont="1" applyAlignment="1">
      <alignment horizontal="center" vertical="top"/>
    </xf>
    <xf numFmtId="14" fontId="25" fillId="0" borderId="0" xfId="11" applyNumberFormat="1" applyFont="1" applyAlignment="1">
      <alignment horizontal="left" vertical="top" wrapText="1"/>
    </xf>
    <xf numFmtId="2" fontId="25" fillId="0" borderId="0" xfId="11" applyNumberFormat="1" applyFont="1" applyAlignment="1">
      <alignment horizontal="left" vertical="top" wrapText="1"/>
    </xf>
    <xf numFmtId="0" fontId="24" fillId="0" borderId="0" xfId="11" applyFont="1" applyAlignment="1">
      <alignment horizontal="left" vertical="top" wrapText="1"/>
    </xf>
    <xf numFmtId="0" fontId="24" fillId="0" borderId="0" xfId="11" applyFont="1" applyAlignment="1">
      <alignment horizontal="center" vertical="top" wrapText="1"/>
    </xf>
    <xf numFmtId="0" fontId="24" fillId="0" borderId="0" xfId="11" applyFont="1" applyAlignment="1">
      <alignment horizontal="center" vertical="top"/>
    </xf>
    <xf numFmtId="4" fontId="25" fillId="0" borderId="0" xfId="0" applyNumberFormat="1" applyFont="1" applyAlignment="1">
      <alignment vertical="top" wrapText="1"/>
    </xf>
    <xf numFmtId="3" fontId="25" fillId="0" borderId="0" xfId="0" applyNumberFormat="1" applyFont="1" applyAlignment="1">
      <alignment vertical="top" wrapText="1"/>
    </xf>
    <xf numFmtId="0" fontId="25" fillId="0" borderId="0" xfId="11" applyFont="1" applyAlignment="1">
      <alignment vertical="top"/>
    </xf>
    <xf numFmtId="16" fontId="25" fillId="0" borderId="0" xfId="11" applyNumberFormat="1" applyFont="1" applyAlignment="1">
      <alignment horizontal="left" vertical="top" wrapText="1"/>
    </xf>
    <xf numFmtId="167" fontId="24" fillId="0" borderId="13" xfId="0" applyNumberFormat="1" applyFont="1" applyBorder="1" applyAlignment="1">
      <alignment horizontal="right" vertical="top"/>
    </xf>
    <xf numFmtId="167" fontId="40" fillId="0" borderId="0" xfId="0" applyNumberFormat="1" applyFont="1" applyAlignment="1">
      <alignment vertical="top"/>
    </xf>
    <xf numFmtId="0" fontId="25" fillId="0" borderId="0" xfId="0" applyFont="1" applyAlignment="1">
      <alignment horizontal="right" vertical="top"/>
    </xf>
    <xf numFmtId="43" fontId="25" fillId="0" borderId="0" xfId="0" applyNumberFormat="1" applyFont="1" applyAlignment="1">
      <alignment vertical="top"/>
    </xf>
    <xf numFmtId="165" fontId="25" fillId="0" borderId="0" xfId="0" applyNumberFormat="1" applyFont="1" applyAlignment="1">
      <alignment vertical="top"/>
    </xf>
    <xf numFmtId="4" fontId="25" fillId="0" borderId="0" xfId="0" applyNumberFormat="1" applyFont="1" applyAlignment="1">
      <alignment vertical="top"/>
    </xf>
    <xf numFmtId="164" fontId="25" fillId="0" borderId="0" xfId="0" applyNumberFormat="1" applyFont="1" applyAlignment="1">
      <alignment vertical="top"/>
    </xf>
    <xf numFmtId="169" fontId="25" fillId="0" borderId="0" xfId="19" applyNumberFormat="1" applyFont="1" applyFill="1" applyBorder="1" applyAlignment="1">
      <alignment horizontal="left" vertical="top" wrapText="1"/>
    </xf>
    <xf numFmtId="1" fontId="24" fillId="0" borderId="0" xfId="19" applyNumberFormat="1" applyFont="1" applyFill="1" applyBorder="1" applyAlignment="1">
      <alignment horizontal="left" vertical="top" wrapText="1"/>
    </xf>
    <xf numFmtId="164" fontId="25" fillId="0" borderId="0" xfId="19" applyNumberFormat="1" applyFont="1" applyFill="1" applyBorder="1" applyAlignment="1">
      <alignment horizontal="left" vertical="top" wrapText="1"/>
    </xf>
    <xf numFmtId="0" fontId="25" fillId="0" borderId="0" xfId="0" applyFont="1" applyAlignment="1">
      <alignment horizontal="left" vertical="top" wrapText="1"/>
    </xf>
    <xf numFmtId="169" fontId="25" fillId="0" borderId="27" xfId="19" quotePrefix="1" applyNumberFormat="1" applyFont="1" applyFill="1" applyBorder="1" applyAlignment="1">
      <alignment horizontal="center" vertical="top" wrapText="1"/>
    </xf>
    <xf numFmtId="164" fontId="25" fillId="0" borderId="43" xfId="19" applyNumberFormat="1" applyFont="1" applyFill="1" applyBorder="1" applyAlignment="1">
      <alignment horizontal="center" vertical="top" wrapText="1"/>
    </xf>
    <xf numFmtId="164" fontId="24" fillId="0" borderId="46" xfId="19" applyNumberFormat="1" applyFont="1" applyFill="1" applyBorder="1" applyAlignment="1">
      <alignment horizontal="center" vertical="top" wrapText="1"/>
    </xf>
    <xf numFmtId="164" fontId="24" fillId="0" borderId="29" xfId="19" applyNumberFormat="1" applyFont="1" applyFill="1" applyBorder="1" applyAlignment="1">
      <alignment horizontal="center" vertical="top" wrapText="1"/>
    </xf>
    <xf numFmtId="0" fontId="24" fillId="0" borderId="29" xfId="19" applyNumberFormat="1" applyFont="1" applyFill="1" applyBorder="1" applyAlignment="1">
      <alignment horizontal="center" vertical="top" wrapText="1"/>
    </xf>
    <xf numFmtId="1" fontId="24" fillId="0" borderId="29" xfId="19" applyNumberFormat="1" applyFont="1" applyFill="1" applyBorder="1" applyAlignment="1">
      <alignment horizontal="center" vertical="top" wrapText="1"/>
    </xf>
    <xf numFmtId="164" fontId="24" fillId="0" borderId="29" xfId="1" applyNumberFormat="1" applyFont="1" applyFill="1" applyBorder="1" applyAlignment="1">
      <alignment horizontal="center" vertical="top" wrapText="1"/>
    </xf>
    <xf numFmtId="0" fontId="24" fillId="0" borderId="29" xfId="11" applyFont="1" applyBorder="1" applyAlignment="1">
      <alignment horizontal="center" vertical="top" wrapText="1"/>
    </xf>
    <xf numFmtId="0" fontId="53" fillId="0" borderId="0" xfId="0" applyFont="1"/>
    <xf numFmtId="0" fontId="61" fillId="0" borderId="1" xfId="0" applyFont="1" applyBorder="1" applyAlignment="1">
      <alignment horizontal="center" vertical="top" wrapText="1"/>
    </xf>
    <xf numFmtId="164" fontId="53" fillId="0" borderId="0" xfId="1" applyNumberFormat="1" applyFont="1"/>
    <xf numFmtId="164" fontId="53" fillId="0" borderId="0" xfId="0" applyNumberFormat="1" applyFont="1"/>
    <xf numFmtId="0" fontId="53" fillId="0" borderId="0" xfId="0" applyFont="1" applyAlignment="1">
      <alignment horizontal="right"/>
    </xf>
    <xf numFmtId="0" fontId="61" fillId="19" borderId="1" xfId="0" applyFont="1" applyFill="1" applyBorder="1" applyAlignment="1">
      <alignment horizontal="center" vertical="top" wrapText="1"/>
    </xf>
    <xf numFmtId="164" fontId="53" fillId="19" borderId="0" xfId="1" applyNumberFormat="1" applyFont="1" applyFill="1"/>
    <xf numFmtId="164" fontId="61" fillId="0" borderId="13" xfId="1" applyNumberFormat="1" applyFont="1" applyBorder="1"/>
    <xf numFmtId="164" fontId="61" fillId="19" borderId="13" xfId="1" applyNumberFormat="1" applyFont="1" applyFill="1" applyBorder="1"/>
    <xf numFmtId="164" fontId="61" fillId="0" borderId="1" xfId="1" applyNumberFormat="1" applyFont="1" applyBorder="1" applyAlignment="1">
      <alignment horizontal="center"/>
    </xf>
    <xf numFmtId="164" fontId="61" fillId="0" borderId="0" xfId="1" applyNumberFormat="1" applyFont="1" applyBorder="1" applyAlignment="1">
      <alignment horizontal="center"/>
    </xf>
    <xf numFmtId="169" fontId="11" fillId="0" borderId="0" xfId="9" applyNumberFormat="1" applyFont="1"/>
    <xf numFmtId="164" fontId="25" fillId="0" borderId="44" xfId="19" applyNumberFormat="1" applyFont="1" applyFill="1" applyBorder="1" applyAlignment="1">
      <alignment horizontal="center" vertical="top" wrapText="1"/>
    </xf>
    <xf numFmtId="169" fontId="25" fillId="0" borderId="44" xfId="19" quotePrefix="1" applyNumberFormat="1" applyFont="1" applyFill="1" applyBorder="1" applyAlignment="1">
      <alignment horizontal="center" vertical="top"/>
    </xf>
    <xf numFmtId="0" fontId="25" fillId="0" borderId="44" xfId="19" applyNumberFormat="1" applyFont="1" applyFill="1" applyBorder="1" applyAlignment="1">
      <alignment horizontal="left" vertical="top" wrapText="1"/>
    </xf>
    <xf numFmtId="170" fontId="25" fillId="0" borderId="44" xfId="19" applyNumberFormat="1" applyFont="1" applyFill="1" applyBorder="1" applyAlignment="1">
      <alignment horizontal="left" vertical="top" wrapText="1"/>
    </xf>
    <xf numFmtId="164" fontId="25" fillId="0" borderId="44" xfId="1" applyNumberFormat="1" applyFont="1" applyFill="1" applyBorder="1" applyAlignment="1">
      <alignment horizontal="right" vertical="top" wrapText="1"/>
    </xf>
    <xf numFmtId="178" fontId="25" fillId="0" borderId="44" xfId="19" applyNumberFormat="1" applyFont="1" applyFill="1" applyBorder="1" applyAlignment="1">
      <alignment horizontal="left" vertical="top" wrapText="1"/>
    </xf>
    <xf numFmtId="1" fontId="25" fillId="0" borderId="44" xfId="19" applyNumberFormat="1" applyFont="1" applyFill="1" applyBorder="1" applyAlignment="1">
      <alignment horizontal="center" vertical="top" wrapText="1"/>
    </xf>
    <xf numFmtId="167" fontId="25" fillId="0" borderId="44" xfId="19" applyNumberFormat="1" applyFont="1" applyFill="1" applyBorder="1" applyAlignment="1">
      <alignment horizontal="left" vertical="top" wrapText="1"/>
    </xf>
    <xf numFmtId="167" fontId="25" fillId="0" borderId="44" xfId="19" applyNumberFormat="1" applyFont="1" applyFill="1" applyBorder="1" applyAlignment="1">
      <alignment vertical="top" wrapText="1"/>
    </xf>
    <xf numFmtId="167" fontId="25" fillId="0" borderId="27" xfId="11" applyNumberFormat="1" applyFont="1" applyBorder="1" applyAlignment="1">
      <alignment horizontal="left" vertical="top" wrapText="1"/>
    </xf>
    <xf numFmtId="167" fontId="25" fillId="0" borderId="27" xfId="11" applyNumberFormat="1" applyFont="1" applyBorder="1" applyAlignment="1">
      <alignment horizontal="right" vertical="top" wrapText="1"/>
    </xf>
    <xf numFmtId="167" fontId="25" fillId="0" borderId="27" xfId="11" applyNumberFormat="1" applyFont="1" applyBorder="1" applyAlignment="1">
      <alignment horizontal="center" vertical="top" wrapText="1"/>
    </xf>
    <xf numFmtId="170" fontId="25" fillId="0" borderId="27" xfId="11" applyNumberFormat="1" applyFont="1" applyBorder="1" applyAlignment="1">
      <alignment horizontal="left" vertical="top" wrapText="1"/>
    </xf>
    <xf numFmtId="167" fontId="25" fillId="0" borderId="44" xfId="11" applyNumberFormat="1" applyFont="1" applyBorder="1" applyAlignment="1">
      <alignment horizontal="left" vertical="top" wrapText="1"/>
    </xf>
    <xf numFmtId="167" fontId="25" fillId="0" borderId="44" xfId="11" applyNumberFormat="1" applyFont="1" applyBorder="1" applyAlignment="1">
      <alignment horizontal="right" vertical="top" wrapText="1"/>
    </xf>
    <xf numFmtId="167" fontId="25" fillId="0" borderId="44" xfId="11" applyNumberFormat="1" applyFont="1" applyBorder="1" applyAlignment="1">
      <alignment horizontal="center" vertical="top" wrapText="1"/>
    </xf>
    <xf numFmtId="170" fontId="25" fillId="0" borderId="44" xfId="11" applyNumberFormat="1" applyFont="1" applyBorder="1" applyAlignment="1">
      <alignment horizontal="left" vertical="top" wrapText="1"/>
    </xf>
    <xf numFmtId="0" fontId="25" fillId="0" borderId="27" xfId="19" applyNumberFormat="1" applyFont="1" applyFill="1" applyBorder="1" applyAlignment="1">
      <alignment horizontal="center" vertical="top" wrapText="1"/>
    </xf>
    <xf numFmtId="0" fontId="25" fillId="0" borderId="0" xfId="19" applyNumberFormat="1" applyFont="1" applyFill="1" applyBorder="1" applyAlignment="1">
      <alignment horizontal="center" vertical="top" wrapText="1"/>
    </xf>
    <xf numFmtId="0" fontId="25" fillId="0" borderId="44" xfId="19" applyNumberFormat="1" applyFont="1" applyFill="1" applyBorder="1" applyAlignment="1">
      <alignment horizontal="center" vertical="top" wrapText="1"/>
    </xf>
    <xf numFmtId="1" fontId="25" fillId="0" borderId="27" xfId="19" applyNumberFormat="1" applyFont="1" applyFill="1" applyBorder="1" applyAlignment="1">
      <alignment horizontal="left" vertical="top" wrapText="1"/>
    </xf>
    <xf numFmtId="169" fontId="25" fillId="0" borderId="0" xfId="19" applyNumberFormat="1" applyFont="1" applyFill="1" applyBorder="1" applyAlignment="1">
      <alignment horizontal="center" vertical="top" wrapText="1"/>
    </xf>
    <xf numFmtId="169" fontId="25" fillId="0" borderId="44" xfId="19" applyNumberFormat="1" applyFont="1" applyFill="1" applyBorder="1" applyAlignment="1">
      <alignment horizontal="center" vertical="top" wrapText="1"/>
    </xf>
    <xf numFmtId="1" fontId="25" fillId="0" borderId="44" xfId="19" applyNumberFormat="1" applyFont="1" applyFill="1" applyBorder="1" applyAlignment="1">
      <alignment horizontal="left" vertical="top" wrapText="1"/>
    </xf>
    <xf numFmtId="0" fontId="53" fillId="0" borderId="0" xfId="0" applyFont="1" applyAlignment="1">
      <alignment horizontal="center"/>
    </xf>
    <xf numFmtId="41" fontId="59" fillId="0" borderId="0" xfId="1" applyNumberFormat="1" applyFont="1" applyFill="1" applyBorder="1" applyAlignment="1">
      <alignment horizontal="left" vertical="top"/>
    </xf>
    <xf numFmtId="166" fontId="23" fillId="0" borderId="0" xfId="12" applyNumberFormat="1" applyFont="1" applyFill="1" applyBorder="1"/>
    <xf numFmtId="0" fontId="60" fillId="0" borderId="0" xfId="0" applyFont="1" applyAlignment="1">
      <alignment horizontal="center"/>
    </xf>
    <xf numFmtId="0" fontId="65" fillId="0" borderId="0" xfId="11" applyFont="1" applyAlignment="1">
      <alignment horizontal="left" vertical="top"/>
    </xf>
    <xf numFmtId="164" fontId="65" fillId="0" borderId="27" xfId="19" applyNumberFormat="1" applyFont="1" applyFill="1" applyBorder="1" applyAlignment="1">
      <alignment horizontal="center" vertical="top"/>
    </xf>
    <xf numFmtId="14" fontId="65" fillId="0" borderId="27" xfId="19" applyNumberFormat="1" applyFont="1" applyFill="1" applyBorder="1" applyAlignment="1">
      <alignment horizontal="center" vertical="top" wrapText="1"/>
    </xf>
    <xf numFmtId="0" fontId="65" fillId="0" borderId="27" xfId="19" applyNumberFormat="1" applyFont="1" applyFill="1" applyBorder="1" applyAlignment="1">
      <alignment horizontal="left" vertical="top"/>
    </xf>
    <xf numFmtId="0" fontId="65" fillId="0" borderId="27" xfId="19" applyNumberFormat="1" applyFont="1" applyFill="1" applyBorder="1" applyAlignment="1">
      <alignment horizontal="left" vertical="top" wrapText="1"/>
    </xf>
    <xf numFmtId="0" fontId="65" fillId="0" borderId="27" xfId="19" applyNumberFormat="1" applyFont="1" applyFill="1" applyBorder="1" applyAlignment="1">
      <alignment horizontal="center" vertical="top"/>
    </xf>
    <xf numFmtId="167" fontId="65" fillId="0" borderId="27" xfId="19" applyNumberFormat="1" applyFont="1" applyFill="1" applyBorder="1" applyAlignment="1">
      <alignment horizontal="left" vertical="top"/>
    </xf>
    <xf numFmtId="167" fontId="66" fillId="0" borderId="27" xfId="19" applyNumberFormat="1" applyFont="1" applyFill="1" applyBorder="1" applyAlignment="1">
      <alignment horizontal="left" vertical="top"/>
    </xf>
    <xf numFmtId="167" fontId="65" fillId="0" borderId="27" xfId="19" applyNumberFormat="1" applyFont="1" applyFill="1" applyBorder="1" applyAlignment="1">
      <alignment horizontal="center" vertical="top"/>
    </xf>
    <xf numFmtId="167" fontId="66" fillId="13" borderId="27" xfId="19" applyNumberFormat="1" applyFont="1" applyFill="1" applyBorder="1" applyAlignment="1">
      <alignment horizontal="center" vertical="top"/>
    </xf>
    <xf numFmtId="167" fontId="65" fillId="0" borderId="27" xfId="19" quotePrefix="1" applyNumberFormat="1" applyFont="1" applyFill="1" applyBorder="1" applyAlignment="1">
      <alignment horizontal="left" vertical="top"/>
    </xf>
    <xf numFmtId="1" fontId="65" fillId="0" borderId="27" xfId="19" applyNumberFormat="1" applyFont="1" applyFill="1" applyBorder="1" applyAlignment="1">
      <alignment horizontal="center" vertical="top"/>
    </xf>
    <xf numFmtId="165" fontId="65" fillId="0" borderId="0" xfId="1" applyFont="1" applyFill="1" applyAlignment="1">
      <alignment horizontal="right" vertical="top"/>
    </xf>
    <xf numFmtId="14" fontId="65" fillId="0" borderId="27" xfId="19" applyNumberFormat="1" applyFont="1" applyFill="1" applyBorder="1" applyAlignment="1">
      <alignment horizontal="center" vertical="top"/>
    </xf>
    <xf numFmtId="165" fontId="65" fillId="0" borderId="0" xfId="1" applyFont="1" applyFill="1" applyBorder="1" applyAlignment="1">
      <alignment horizontal="center" vertical="top"/>
    </xf>
    <xf numFmtId="44" fontId="65" fillId="0" borderId="0" xfId="11" applyNumberFormat="1" applyFont="1" applyAlignment="1">
      <alignment horizontal="left" vertical="top"/>
    </xf>
    <xf numFmtId="0" fontId="65" fillId="21" borderId="0" xfId="11" applyFont="1" applyFill="1" applyAlignment="1">
      <alignment horizontal="left" vertical="top"/>
    </xf>
    <xf numFmtId="164" fontId="65" fillId="0" borderId="27" xfId="19" applyNumberFormat="1" applyFont="1" applyFill="1" applyBorder="1" applyAlignment="1">
      <alignment horizontal="center" vertical="top" wrapText="1"/>
    </xf>
    <xf numFmtId="167" fontId="65" fillId="0" borderId="0" xfId="19" applyNumberFormat="1" applyFont="1" applyFill="1" applyBorder="1" applyAlignment="1">
      <alignment horizontal="left" vertical="top"/>
    </xf>
    <xf numFmtId="164" fontId="65" fillId="0" borderId="0" xfId="19" applyNumberFormat="1" applyFont="1" applyFill="1" applyBorder="1" applyAlignment="1">
      <alignment horizontal="center" vertical="top"/>
    </xf>
    <xf numFmtId="14" fontId="65" fillId="0" borderId="0" xfId="19" applyNumberFormat="1" applyFont="1" applyFill="1" applyBorder="1" applyAlignment="1">
      <alignment horizontal="center" vertical="top" wrapText="1"/>
    </xf>
    <xf numFmtId="0" fontId="65" fillId="0" borderId="0" xfId="19" applyNumberFormat="1" applyFont="1" applyFill="1" applyBorder="1" applyAlignment="1">
      <alignment horizontal="left" vertical="top"/>
    </xf>
    <xf numFmtId="0" fontId="65" fillId="0" borderId="0" xfId="19" applyNumberFormat="1" applyFont="1" applyFill="1" applyBorder="1" applyAlignment="1">
      <alignment horizontal="left" vertical="top" wrapText="1"/>
    </xf>
    <xf numFmtId="0" fontId="65" fillId="0" borderId="0" xfId="19" applyNumberFormat="1" applyFont="1" applyFill="1" applyBorder="1" applyAlignment="1">
      <alignment horizontal="center" vertical="top"/>
    </xf>
    <xf numFmtId="167" fontId="66" fillId="0" borderId="28" xfId="19" applyNumberFormat="1" applyFont="1" applyFill="1" applyBorder="1" applyAlignment="1">
      <alignment horizontal="left" vertical="top"/>
    </xf>
    <xf numFmtId="167" fontId="65" fillId="0" borderId="0" xfId="19" applyNumberFormat="1" applyFont="1" applyFill="1" applyBorder="1" applyAlignment="1">
      <alignment horizontal="center" vertical="top"/>
    </xf>
    <xf numFmtId="167" fontId="66" fillId="13" borderId="28" xfId="19" applyNumberFormat="1" applyFont="1" applyFill="1" applyBorder="1" applyAlignment="1">
      <alignment horizontal="left" vertical="top"/>
    </xf>
    <xf numFmtId="0" fontId="65" fillId="15" borderId="0" xfId="11" applyFont="1" applyFill="1" applyAlignment="1">
      <alignment horizontal="left" vertical="top"/>
    </xf>
    <xf numFmtId="164" fontId="65" fillId="15" borderId="27" xfId="19" applyNumberFormat="1" applyFont="1" applyFill="1" applyBorder="1" applyAlignment="1">
      <alignment horizontal="center" vertical="top"/>
    </xf>
    <xf numFmtId="14" fontId="65" fillId="15" borderId="27" xfId="19" applyNumberFormat="1" applyFont="1" applyFill="1" applyBorder="1" applyAlignment="1">
      <alignment horizontal="center" vertical="top"/>
    </xf>
    <xf numFmtId="14" fontId="65" fillId="15" borderId="27" xfId="19" applyNumberFormat="1" applyFont="1" applyFill="1" applyBorder="1" applyAlignment="1">
      <alignment horizontal="center" vertical="top" wrapText="1"/>
    </xf>
    <xf numFmtId="0" fontId="65" fillId="15" borderId="27" xfId="19" applyNumberFormat="1" applyFont="1" applyFill="1" applyBorder="1" applyAlignment="1">
      <alignment horizontal="left" vertical="top"/>
    </xf>
    <xf numFmtId="0" fontId="65" fillId="15" borderId="27" xfId="19" applyNumberFormat="1" applyFont="1" applyFill="1" applyBorder="1" applyAlignment="1">
      <alignment horizontal="left" vertical="top" wrapText="1"/>
    </xf>
    <xf numFmtId="0" fontId="65" fillId="15" borderId="27" xfId="19" applyNumberFormat="1" applyFont="1" applyFill="1" applyBorder="1" applyAlignment="1">
      <alignment horizontal="center" vertical="top"/>
    </xf>
    <xf numFmtId="167" fontId="65" fillId="15" borderId="27" xfId="19" applyNumberFormat="1" applyFont="1" applyFill="1" applyBorder="1" applyAlignment="1">
      <alignment horizontal="left" vertical="top"/>
    </xf>
    <xf numFmtId="167" fontId="66" fillId="15" borderId="27" xfId="19" applyNumberFormat="1" applyFont="1" applyFill="1" applyBorder="1" applyAlignment="1">
      <alignment horizontal="left" vertical="top"/>
    </xf>
    <xf numFmtId="167" fontId="65" fillId="15" borderId="27" xfId="19" applyNumberFormat="1" applyFont="1" applyFill="1" applyBorder="1" applyAlignment="1">
      <alignment horizontal="center" vertical="top"/>
    </xf>
    <xf numFmtId="167" fontId="66" fillId="15" borderId="27" xfId="19" applyNumberFormat="1" applyFont="1" applyFill="1" applyBorder="1" applyAlignment="1">
      <alignment horizontal="center" vertical="top"/>
    </xf>
    <xf numFmtId="167" fontId="65" fillId="15" borderId="27" xfId="19" quotePrefix="1" applyNumberFormat="1" applyFont="1" applyFill="1" applyBorder="1" applyAlignment="1">
      <alignment horizontal="left" vertical="top"/>
    </xf>
    <xf numFmtId="1" fontId="65" fillId="15" borderId="27" xfId="19" applyNumberFormat="1" applyFont="1" applyFill="1" applyBorder="1" applyAlignment="1">
      <alignment horizontal="center" vertical="top"/>
    </xf>
    <xf numFmtId="165" fontId="65" fillId="15" borderId="0" xfId="1" applyFont="1" applyFill="1" applyAlignment="1">
      <alignment horizontal="right" vertical="top"/>
    </xf>
    <xf numFmtId="165" fontId="65" fillId="15" borderId="0" xfId="1" applyFont="1" applyFill="1" applyBorder="1" applyAlignment="1">
      <alignment horizontal="center" vertical="top"/>
    </xf>
    <xf numFmtId="44" fontId="65" fillId="15" borderId="0" xfId="11" applyNumberFormat="1" applyFont="1" applyFill="1" applyAlignment="1">
      <alignment horizontal="left" vertical="top"/>
    </xf>
    <xf numFmtId="167" fontId="65" fillId="0" borderId="29" xfId="19" applyNumberFormat="1" applyFont="1" applyFill="1" applyBorder="1" applyAlignment="1">
      <alignment horizontal="left" vertical="top"/>
    </xf>
    <xf numFmtId="167" fontId="65" fillId="0" borderId="44" xfId="19" applyNumberFormat="1" applyFont="1" applyFill="1" applyBorder="1" applyAlignment="1">
      <alignment horizontal="left" vertical="top"/>
    </xf>
    <xf numFmtId="164" fontId="66" fillId="0" borderId="0" xfId="19" applyNumberFormat="1" applyFont="1" applyFill="1" applyAlignment="1">
      <alignment horizontal="center" vertical="top"/>
    </xf>
    <xf numFmtId="164" fontId="66" fillId="0" borderId="0" xfId="19" applyNumberFormat="1" applyFont="1" applyFill="1" applyAlignment="1">
      <alignment horizontal="center" vertical="top" wrapText="1"/>
    </xf>
    <xf numFmtId="164" fontId="66" fillId="0" borderId="0" xfId="19" applyNumberFormat="1" applyFont="1" applyFill="1" applyAlignment="1">
      <alignment horizontal="left" vertical="top"/>
    </xf>
    <xf numFmtId="0" fontId="66" fillId="0" borderId="0" xfId="19" applyNumberFormat="1" applyFont="1" applyFill="1" applyAlignment="1">
      <alignment horizontal="left" vertical="top"/>
    </xf>
    <xf numFmtId="0" fontId="66" fillId="0" borderId="0" xfId="19" applyNumberFormat="1" applyFont="1" applyFill="1" applyAlignment="1">
      <alignment horizontal="left" vertical="top" wrapText="1"/>
    </xf>
    <xf numFmtId="0" fontId="66" fillId="0" borderId="0" xfId="19" applyNumberFormat="1" applyFont="1" applyFill="1" applyAlignment="1">
      <alignment horizontal="center" vertical="top"/>
    </xf>
    <xf numFmtId="167" fontId="66" fillId="0" borderId="13" xfId="19" applyNumberFormat="1" applyFont="1" applyFill="1" applyBorder="1" applyAlignment="1">
      <alignment horizontal="left" vertical="top"/>
    </xf>
    <xf numFmtId="167" fontId="65" fillId="0" borderId="44" xfId="19" applyNumberFormat="1" applyFont="1" applyFill="1" applyBorder="1" applyAlignment="1">
      <alignment horizontal="center" vertical="top"/>
    </xf>
    <xf numFmtId="167" fontId="66" fillId="13" borderId="13" xfId="19" applyNumberFormat="1" applyFont="1" applyFill="1" applyBorder="1" applyAlignment="1">
      <alignment horizontal="left" vertical="top"/>
    </xf>
    <xf numFmtId="0" fontId="66" fillId="0" borderId="0" xfId="11" applyFont="1" applyAlignment="1">
      <alignment horizontal="left" vertical="top"/>
    </xf>
    <xf numFmtId="44" fontId="66" fillId="0" borderId="13" xfId="11" applyNumberFormat="1" applyFont="1" applyBorder="1" applyAlignment="1">
      <alignment horizontal="left" vertical="top"/>
    </xf>
    <xf numFmtId="167" fontId="66" fillId="13" borderId="27" xfId="19" applyNumberFormat="1" applyFont="1" applyFill="1" applyBorder="1" applyAlignment="1">
      <alignment horizontal="left" vertical="top"/>
    </xf>
    <xf numFmtId="167" fontId="66" fillId="13" borderId="44" xfId="19" applyNumberFormat="1" applyFont="1" applyFill="1" applyBorder="1" applyAlignment="1">
      <alignment horizontal="left" vertical="top"/>
    </xf>
    <xf numFmtId="164" fontId="65" fillId="0" borderId="0" xfId="1" applyNumberFormat="1" applyFont="1" applyFill="1" applyAlignment="1">
      <alignment horizontal="left" vertical="top"/>
    </xf>
    <xf numFmtId="165" fontId="65" fillId="0" borderId="0" xfId="1" applyFont="1" applyAlignment="1">
      <alignment horizontal="left" vertical="top"/>
    </xf>
    <xf numFmtId="167" fontId="66" fillId="13" borderId="44" xfId="19" applyNumberFormat="1" applyFont="1" applyFill="1" applyBorder="1" applyAlignment="1">
      <alignment horizontal="center" vertical="top"/>
    </xf>
    <xf numFmtId="164" fontId="66" fillId="0" borderId="0" xfId="19" applyNumberFormat="1" applyFont="1" applyFill="1" applyBorder="1" applyAlignment="1">
      <alignment horizontal="center" vertical="top"/>
    </xf>
    <xf numFmtId="164" fontId="66" fillId="0" borderId="0" xfId="19" applyNumberFormat="1" applyFont="1" applyFill="1" applyBorder="1" applyAlignment="1">
      <alignment horizontal="center" vertical="top" wrapText="1"/>
    </xf>
    <xf numFmtId="167" fontId="66" fillId="0" borderId="0" xfId="19" applyNumberFormat="1" applyFont="1" applyFill="1" applyAlignment="1">
      <alignment horizontal="left" vertical="top"/>
    </xf>
    <xf numFmtId="180" fontId="66" fillId="0" borderId="13" xfId="11" applyNumberFormat="1" applyFont="1" applyBorder="1" applyAlignment="1">
      <alignment horizontal="left" vertical="top"/>
    </xf>
    <xf numFmtId="0" fontId="25" fillId="0" borderId="0" xfId="19" quotePrefix="1" applyNumberFormat="1" applyFont="1" applyFill="1" applyBorder="1" applyAlignment="1">
      <alignment horizontal="left" vertical="top" wrapText="1"/>
    </xf>
    <xf numFmtId="164" fontId="25" fillId="0" borderId="47" xfId="19" applyNumberFormat="1" applyFont="1" applyFill="1" applyBorder="1" applyAlignment="1">
      <alignment horizontal="center" vertical="top" wrapText="1"/>
    </xf>
    <xf numFmtId="167" fontId="25" fillId="0" borderId="0" xfId="11" applyNumberFormat="1" applyFont="1" applyAlignment="1">
      <alignment horizontal="left" vertical="top" wrapText="1"/>
    </xf>
    <xf numFmtId="167" fontId="25" fillId="0" borderId="0" xfId="11" applyNumberFormat="1" applyFont="1" applyAlignment="1">
      <alignment horizontal="right" vertical="top" wrapText="1"/>
    </xf>
    <xf numFmtId="167" fontId="25" fillId="0" borderId="0" xfId="11" applyNumberFormat="1" applyFont="1" applyAlignment="1">
      <alignment horizontal="center" vertical="top" wrapText="1"/>
    </xf>
    <xf numFmtId="170" fontId="25" fillId="0" borderId="0" xfId="11" applyNumberFormat="1" applyFont="1" applyAlignment="1">
      <alignment horizontal="left" vertical="top" wrapText="1"/>
    </xf>
    <xf numFmtId="170" fontId="25" fillId="13" borderId="27" xfId="19" applyNumberFormat="1" applyFont="1" applyFill="1" applyBorder="1" applyAlignment="1">
      <alignment horizontal="left" vertical="top" wrapText="1"/>
    </xf>
    <xf numFmtId="0" fontId="25" fillId="0" borderId="27" xfId="11" applyFont="1" applyBorder="1" applyAlignment="1">
      <alignment horizontal="left" vertical="top" wrapText="1"/>
    </xf>
    <xf numFmtId="170" fontId="25" fillId="0" borderId="0" xfId="11" applyNumberFormat="1" applyFont="1" applyAlignment="1">
      <alignment horizontal="left" vertical="top"/>
    </xf>
    <xf numFmtId="164" fontId="25" fillId="14" borderId="43" xfId="19" applyNumberFormat="1" applyFont="1" applyFill="1" applyBorder="1" applyAlignment="1">
      <alignment horizontal="center" vertical="top" wrapText="1"/>
    </xf>
    <xf numFmtId="169" fontId="25" fillId="14" borderId="27" xfId="19" applyNumberFormat="1" applyFont="1" applyFill="1" applyBorder="1" applyAlignment="1">
      <alignment horizontal="center" vertical="top" wrapText="1"/>
    </xf>
    <xf numFmtId="164" fontId="25" fillId="14" borderId="27" xfId="19" applyNumberFormat="1" applyFont="1" applyFill="1" applyBorder="1" applyAlignment="1">
      <alignment horizontal="center" vertical="top" wrapText="1"/>
    </xf>
    <xf numFmtId="1" fontId="25" fillId="14" borderId="27" xfId="19" applyNumberFormat="1" applyFont="1" applyFill="1" applyBorder="1" applyAlignment="1">
      <alignment horizontal="center" vertical="top" wrapText="1"/>
    </xf>
    <xf numFmtId="169" fontId="25" fillId="14" borderId="27" xfId="19" quotePrefix="1" applyNumberFormat="1" applyFont="1" applyFill="1" applyBorder="1" applyAlignment="1">
      <alignment horizontal="center" vertical="top"/>
    </xf>
    <xf numFmtId="0" fontId="25" fillId="14" borderId="27" xfId="19" applyNumberFormat="1" applyFont="1" applyFill="1" applyBorder="1" applyAlignment="1">
      <alignment horizontal="left" vertical="top" wrapText="1"/>
    </xf>
    <xf numFmtId="1" fontId="25" fillId="14" borderId="27" xfId="19" applyNumberFormat="1" applyFont="1" applyFill="1" applyBorder="1" applyAlignment="1">
      <alignment horizontal="left" vertical="top" wrapText="1"/>
    </xf>
    <xf numFmtId="0" fontId="25" fillId="14" borderId="27" xfId="19" applyNumberFormat="1" applyFont="1" applyFill="1" applyBorder="1" applyAlignment="1">
      <alignment horizontal="center" vertical="top" wrapText="1"/>
    </xf>
    <xf numFmtId="170" fontId="25" fillId="14" borderId="27" xfId="19" applyNumberFormat="1" applyFont="1" applyFill="1" applyBorder="1" applyAlignment="1">
      <alignment horizontal="left" vertical="top" wrapText="1"/>
    </xf>
    <xf numFmtId="164" fontId="25" fillId="14" borderId="27" xfId="1" applyNumberFormat="1" applyFont="1" applyFill="1" applyBorder="1" applyAlignment="1">
      <alignment horizontal="right" vertical="top" wrapText="1"/>
    </xf>
    <xf numFmtId="178" fontId="25" fillId="14" borderId="27" xfId="19" applyNumberFormat="1" applyFont="1" applyFill="1" applyBorder="1" applyAlignment="1">
      <alignment horizontal="left" vertical="top" wrapText="1"/>
    </xf>
    <xf numFmtId="167" fontId="25" fillId="14" borderId="27" xfId="19" applyNumberFormat="1" applyFont="1" applyFill="1" applyBorder="1" applyAlignment="1">
      <alignment horizontal="left" vertical="top" wrapText="1"/>
    </xf>
    <xf numFmtId="167" fontId="25" fillId="14" borderId="27" xfId="19" applyNumberFormat="1" applyFont="1" applyFill="1" applyBorder="1" applyAlignment="1">
      <alignment vertical="top" wrapText="1"/>
    </xf>
    <xf numFmtId="167" fontId="25" fillId="14" borderId="27" xfId="11" applyNumberFormat="1" applyFont="1" applyFill="1" applyBorder="1" applyAlignment="1">
      <alignment horizontal="left" vertical="top" wrapText="1"/>
    </xf>
    <xf numFmtId="167" fontId="25" fillId="14" borderId="27" xfId="11" applyNumberFormat="1" applyFont="1" applyFill="1" applyBorder="1" applyAlignment="1">
      <alignment horizontal="right" vertical="top" wrapText="1"/>
    </xf>
    <xf numFmtId="167" fontId="25" fillId="14" borderId="27" xfId="11" applyNumberFormat="1" applyFont="1" applyFill="1" applyBorder="1" applyAlignment="1">
      <alignment horizontal="center" vertical="top" wrapText="1"/>
    </xf>
    <xf numFmtId="170" fontId="25" fillId="14" borderId="27" xfId="11" applyNumberFormat="1" applyFont="1" applyFill="1" applyBorder="1" applyAlignment="1">
      <alignment horizontal="left" vertical="top" wrapText="1"/>
    </xf>
    <xf numFmtId="0" fontId="24" fillId="0" borderId="0" xfId="11" applyFont="1" applyAlignment="1">
      <alignment horizontal="left" vertical="top"/>
    </xf>
    <xf numFmtId="0" fontId="24" fillId="0" borderId="27" xfId="11" applyFont="1" applyBorder="1" applyAlignment="1">
      <alignment horizontal="center" vertical="top" wrapText="1"/>
    </xf>
    <xf numFmtId="170" fontId="25" fillId="11" borderId="27" xfId="19" applyNumberFormat="1" applyFont="1" applyFill="1" applyBorder="1" applyAlignment="1">
      <alignment horizontal="left" vertical="top" wrapText="1"/>
    </xf>
    <xf numFmtId="0" fontId="25" fillId="14" borderId="27" xfId="19" quotePrefix="1" applyNumberFormat="1" applyFont="1" applyFill="1" applyBorder="1" applyAlignment="1">
      <alignment horizontal="left" vertical="top" wrapText="1"/>
    </xf>
    <xf numFmtId="167" fontId="25" fillId="0" borderId="0" xfId="0" applyNumberFormat="1" applyFont="1" applyAlignment="1">
      <alignment horizontal="right" vertical="top"/>
    </xf>
    <xf numFmtId="164" fontId="25" fillId="9" borderId="43" xfId="19" applyNumberFormat="1" applyFont="1" applyFill="1" applyBorder="1" applyAlignment="1">
      <alignment horizontal="center" vertical="top" wrapText="1"/>
    </xf>
    <xf numFmtId="169" fontId="25" fillId="9" borderId="27" xfId="19" applyNumberFormat="1" applyFont="1" applyFill="1" applyBorder="1" applyAlignment="1">
      <alignment horizontal="center" vertical="top" wrapText="1"/>
    </xf>
    <xf numFmtId="164" fontId="25" fillId="9" borderId="27" xfId="19" applyNumberFormat="1" applyFont="1" applyFill="1" applyBorder="1" applyAlignment="1">
      <alignment horizontal="center" vertical="top" wrapText="1"/>
    </xf>
    <xf numFmtId="1" fontId="25" fillId="9" borderId="27" xfId="19" applyNumberFormat="1" applyFont="1" applyFill="1" applyBorder="1" applyAlignment="1">
      <alignment horizontal="center" vertical="top" wrapText="1"/>
    </xf>
    <xf numFmtId="169" fontId="25" fillId="9" borderId="27" xfId="19" quotePrefix="1" applyNumberFormat="1" applyFont="1" applyFill="1" applyBorder="1" applyAlignment="1">
      <alignment horizontal="center" vertical="top"/>
    </xf>
    <xf numFmtId="0" fontId="25" fillId="9" borderId="27" xfId="19" applyNumberFormat="1" applyFont="1" applyFill="1" applyBorder="1" applyAlignment="1">
      <alignment horizontal="left" vertical="top" wrapText="1"/>
    </xf>
    <xf numFmtId="1" fontId="25" fillId="9" borderId="27" xfId="19" applyNumberFormat="1" applyFont="1" applyFill="1" applyBorder="1" applyAlignment="1">
      <alignment horizontal="left" vertical="top" wrapText="1"/>
    </xf>
    <xf numFmtId="0" fontId="25" fillId="9" borderId="27" xfId="19" applyNumberFormat="1" applyFont="1" applyFill="1" applyBorder="1" applyAlignment="1">
      <alignment horizontal="center" vertical="top" wrapText="1"/>
    </xf>
    <xf numFmtId="170" fontId="25" fillId="9" borderId="27" xfId="19" applyNumberFormat="1" applyFont="1" applyFill="1" applyBorder="1" applyAlignment="1">
      <alignment horizontal="left" vertical="top" wrapText="1"/>
    </xf>
    <xf numFmtId="164" fontId="25" fillId="9" borderId="27" xfId="1" applyNumberFormat="1" applyFont="1" applyFill="1" applyBorder="1" applyAlignment="1">
      <alignment horizontal="right" vertical="top" wrapText="1"/>
    </xf>
    <xf numFmtId="178" fontId="25" fillId="9" borderId="27" xfId="19" applyNumberFormat="1" applyFont="1" applyFill="1" applyBorder="1" applyAlignment="1">
      <alignment horizontal="left" vertical="top" wrapText="1"/>
    </xf>
    <xf numFmtId="0" fontId="25" fillId="9" borderId="27" xfId="19" quotePrefix="1" applyNumberFormat="1" applyFont="1" applyFill="1" applyBorder="1" applyAlignment="1">
      <alignment horizontal="left" vertical="top" wrapText="1"/>
    </xf>
    <xf numFmtId="167" fontId="25" fillId="9" borderId="27" xfId="19" applyNumberFormat="1" applyFont="1" applyFill="1" applyBorder="1" applyAlignment="1">
      <alignment horizontal="left" vertical="top" wrapText="1"/>
    </xf>
    <xf numFmtId="167" fontId="25" fillId="9" borderId="27" xfId="19" applyNumberFormat="1" applyFont="1" applyFill="1" applyBorder="1" applyAlignment="1">
      <alignment vertical="top" wrapText="1"/>
    </xf>
    <xf numFmtId="167" fontId="25" fillId="9" borderId="27" xfId="11" applyNumberFormat="1" applyFont="1" applyFill="1" applyBorder="1" applyAlignment="1">
      <alignment horizontal="left" vertical="top" wrapText="1"/>
    </xf>
    <xf numFmtId="167" fontId="25" fillId="9" borderId="27" xfId="11" applyNumberFormat="1" applyFont="1" applyFill="1" applyBorder="1" applyAlignment="1">
      <alignment horizontal="right" vertical="top" wrapText="1"/>
    </xf>
    <xf numFmtId="167" fontId="25" fillId="9" borderId="27" xfId="11" applyNumberFormat="1" applyFont="1" applyFill="1" applyBorder="1" applyAlignment="1">
      <alignment horizontal="center" vertical="top" wrapText="1"/>
    </xf>
    <xf numFmtId="170" fontId="25" fillId="9" borderId="27" xfId="11" applyNumberFormat="1" applyFont="1" applyFill="1" applyBorder="1" applyAlignment="1">
      <alignment horizontal="left" vertical="top" wrapText="1"/>
    </xf>
    <xf numFmtId="170" fontId="25" fillId="22" borderId="27" xfId="19" applyNumberFormat="1" applyFont="1" applyFill="1" applyBorder="1" applyAlignment="1">
      <alignment horizontal="left" vertical="top" wrapText="1"/>
    </xf>
    <xf numFmtId="170" fontId="67" fillId="23" borderId="27" xfId="19" applyNumberFormat="1" applyFont="1" applyFill="1" applyBorder="1" applyAlignment="1">
      <alignment horizontal="left" vertical="top" wrapText="1"/>
    </xf>
    <xf numFmtId="170" fontId="67" fillId="14" borderId="27" xfId="19" applyNumberFormat="1" applyFont="1" applyFill="1" applyBorder="1" applyAlignment="1">
      <alignment horizontal="left" vertical="top" wrapText="1"/>
    </xf>
    <xf numFmtId="170" fontId="67" fillId="9" borderId="27" xfId="19" applyNumberFormat="1" applyFont="1" applyFill="1" applyBorder="1" applyAlignment="1">
      <alignment horizontal="left" vertical="top" wrapText="1"/>
    </xf>
    <xf numFmtId="170" fontId="67" fillId="0" borderId="27" xfId="19" applyNumberFormat="1" applyFont="1" applyFill="1" applyBorder="1" applyAlignment="1">
      <alignment horizontal="left" vertical="top" wrapText="1"/>
    </xf>
    <xf numFmtId="170" fontId="68" fillId="0" borderId="27" xfId="19" applyNumberFormat="1" applyFont="1" applyFill="1" applyBorder="1" applyAlignment="1">
      <alignment horizontal="left" vertical="top" wrapText="1"/>
    </xf>
    <xf numFmtId="170" fontId="68" fillId="9" borderId="27" xfId="19" applyNumberFormat="1" applyFont="1" applyFill="1" applyBorder="1" applyAlignment="1">
      <alignment horizontal="left" vertical="top" wrapText="1"/>
    </xf>
    <xf numFmtId="164" fontId="53" fillId="0" borderId="6" xfId="1" applyNumberFormat="1" applyFont="1" applyBorder="1"/>
    <xf numFmtId="164" fontId="53" fillId="0" borderId="13" xfId="1" applyNumberFormat="1" applyFont="1" applyBorder="1"/>
    <xf numFmtId="164" fontId="65" fillId="14" borderId="27" xfId="19" applyNumberFormat="1" applyFont="1" applyFill="1" applyBorder="1" applyAlignment="1">
      <alignment horizontal="center" vertical="top"/>
    </xf>
    <xf numFmtId="14" fontId="65" fillId="14" borderId="27" xfId="19" applyNumberFormat="1" applyFont="1" applyFill="1" applyBorder="1" applyAlignment="1">
      <alignment horizontal="center" vertical="top"/>
    </xf>
    <xf numFmtId="0" fontId="65" fillId="14" borderId="27" xfId="19" applyNumberFormat="1" applyFont="1" applyFill="1" applyBorder="1" applyAlignment="1">
      <alignment horizontal="left" vertical="top"/>
    </xf>
    <xf numFmtId="0" fontId="65" fillId="14" borderId="27" xfId="19" applyNumberFormat="1" applyFont="1" applyFill="1" applyBorder="1" applyAlignment="1">
      <alignment horizontal="left" vertical="top" wrapText="1"/>
    </xf>
    <xf numFmtId="0" fontId="65" fillId="14" borderId="27" xfId="19" applyNumberFormat="1" applyFont="1" applyFill="1" applyBorder="1" applyAlignment="1">
      <alignment horizontal="center" vertical="top"/>
    </xf>
    <xf numFmtId="167" fontId="65" fillId="14" borderId="27" xfId="19" applyNumberFormat="1" applyFont="1" applyFill="1" applyBorder="1" applyAlignment="1">
      <alignment horizontal="left" vertical="top"/>
    </xf>
    <xf numFmtId="167" fontId="66" fillId="14" borderId="27" xfId="19" applyNumberFormat="1" applyFont="1" applyFill="1" applyBorder="1" applyAlignment="1">
      <alignment horizontal="left" vertical="top"/>
    </xf>
    <xf numFmtId="167" fontId="65" fillId="14" borderId="27" xfId="19" applyNumberFormat="1" applyFont="1" applyFill="1" applyBorder="1" applyAlignment="1">
      <alignment horizontal="center" vertical="top"/>
    </xf>
    <xf numFmtId="167" fontId="66" fillId="14" borderId="27" xfId="19" applyNumberFormat="1" applyFont="1" applyFill="1" applyBorder="1" applyAlignment="1">
      <alignment horizontal="center" vertical="top"/>
    </xf>
    <xf numFmtId="167" fontId="65" fillId="14" borderId="27" xfId="19" quotePrefix="1" applyNumberFormat="1" applyFont="1" applyFill="1" applyBorder="1" applyAlignment="1">
      <alignment horizontal="left" vertical="top"/>
    </xf>
    <xf numFmtId="1" fontId="65" fillId="14" borderId="27" xfId="19" applyNumberFormat="1" applyFont="1" applyFill="1" applyBorder="1" applyAlignment="1">
      <alignment horizontal="center" vertical="top"/>
    </xf>
    <xf numFmtId="0" fontId="65" fillId="14" borderId="0" xfId="11" applyFont="1" applyFill="1" applyAlignment="1">
      <alignment horizontal="left" vertical="top"/>
    </xf>
    <xf numFmtId="165" fontId="65" fillId="14" borderId="0" xfId="1" applyFont="1" applyFill="1" applyAlignment="1">
      <alignment horizontal="right" vertical="top"/>
    </xf>
    <xf numFmtId="165" fontId="65" fillId="14" borderId="0" xfId="1" applyFont="1" applyFill="1" applyBorder="1" applyAlignment="1">
      <alignment horizontal="center" vertical="top"/>
    </xf>
    <xf numFmtId="44" fontId="65" fillId="14" borderId="0" xfId="11" applyNumberFormat="1" applyFont="1" applyFill="1" applyAlignment="1">
      <alignment horizontal="left" vertical="top"/>
    </xf>
    <xf numFmtId="0" fontId="25" fillId="0" borderId="44" xfId="19" quotePrefix="1" applyNumberFormat="1" applyFont="1" applyFill="1" applyBorder="1" applyAlignment="1">
      <alignment horizontal="left" vertical="top" wrapText="1"/>
    </xf>
    <xf numFmtId="1" fontId="25" fillId="0" borderId="27" xfId="19" quotePrefix="1" applyNumberFormat="1" applyFont="1" applyFill="1" applyBorder="1" applyAlignment="1">
      <alignment horizontal="center" vertical="top" wrapText="1"/>
    </xf>
    <xf numFmtId="170" fontId="69" fillId="0" borderId="0" xfId="0" applyNumberFormat="1" applyFont="1" applyAlignment="1">
      <alignment vertical="top"/>
    </xf>
    <xf numFmtId="167" fontId="25" fillId="0" borderId="0" xfId="0" applyNumberFormat="1" applyFont="1" applyAlignment="1">
      <alignment horizontal="left" vertical="top"/>
    </xf>
    <xf numFmtId="1" fontId="24" fillId="0" borderId="0" xfId="19" applyNumberFormat="1" applyFont="1" applyFill="1" applyBorder="1" applyAlignment="1">
      <alignment horizontal="center" vertical="top" wrapText="1"/>
    </xf>
    <xf numFmtId="0" fontId="60" fillId="0" borderId="0" xfId="11" applyFont="1" applyAlignment="1">
      <alignment horizontal="left" vertical="top"/>
    </xf>
    <xf numFmtId="0" fontId="11" fillId="9" borderId="1" xfId="9" applyFont="1" applyFill="1" applyBorder="1" applyAlignment="1">
      <alignment horizontal="center" vertical="top"/>
    </xf>
    <xf numFmtId="0" fontId="15" fillId="0" borderId="1" xfId="17" applyFont="1" applyBorder="1" applyAlignment="1">
      <alignment horizontal="center" vertical="center"/>
    </xf>
    <xf numFmtId="0" fontId="29" fillId="0" borderId="0" xfId="0" applyFont="1" applyAlignment="1">
      <alignment horizontal="center" vertical="top"/>
    </xf>
    <xf numFmtId="0" fontId="32" fillId="16" borderId="24" xfId="0" applyFont="1" applyFill="1" applyBorder="1" applyAlignment="1">
      <alignment horizontal="center"/>
    </xf>
    <xf numFmtId="0" fontId="32" fillId="16" borderId="25" xfId="0" applyFont="1" applyFill="1" applyBorder="1" applyAlignment="1">
      <alignment horizontal="center"/>
    </xf>
    <xf numFmtId="0" fontId="32" fillId="16" borderId="26" xfId="0" applyFont="1" applyFill="1" applyBorder="1" applyAlignment="1">
      <alignment horizontal="center"/>
    </xf>
    <xf numFmtId="0" fontId="33" fillId="0" borderId="16" xfId="0" applyFont="1" applyBorder="1" applyAlignment="1">
      <alignment horizontal="center" vertical="top" wrapText="1"/>
    </xf>
    <xf numFmtId="0" fontId="12" fillId="0" borderId="19" xfId="0" applyFont="1" applyBorder="1" applyAlignment="1">
      <alignment horizontal="center" vertical="top" wrapText="1"/>
    </xf>
    <xf numFmtId="0" fontId="12" fillId="0" borderId="22" xfId="0" applyFont="1" applyBorder="1" applyAlignment="1">
      <alignment horizontal="center" vertical="top" wrapText="1"/>
    </xf>
    <xf numFmtId="0" fontId="12" fillId="7" borderId="24" xfId="0" applyFont="1" applyFill="1" applyBorder="1" applyAlignment="1">
      <alignment horizontal="center"/>
    </xf>
    <xf numFmtId="0" fontId="12" fillId="7" borderId="25" xfId="0" applyFont="1" applyFill="1" applyBorder="1" applyAlignment="1">
      <alignment horizontal="center"/>
    </xf>
    <xf numFmtId="0" fontId="12" fillId="7" borderId="26" xfId="0" applyFont="1" applyFill="1" applyBorder="1" applyAlignment="1">
      <alignment horizontal="center"/>
    </xf>
    <xf numFmtId="0" fontId="39" fillId="0" borderId="14" xfId="0" applyFont="1" applyBorder="1" applyAlignment="1">
      <alignment horizontal="center" vertical="center" wrapText="1"/>
    </xf>
    <xf numFmtId="0" fontId="39" fillId="0" borderId="0" xfId="0" applyFont="1" applyAlignment="1">
      <alignment horizontal="center" vertical="center"/>
    </xf>
    <xf numFmtId="0" fontId="39" fillId="0" borderId="15" xfId="0" applyFont="1" applyBorder="1" applyAlignment="1">
      <alignment horizontal="center" vertical="center"/>
    </xf>
    <xf numFmtId="0" fontId="39" fillId="0" borderId="20" xfId="0" applyFont="1" applyBorder="1" applyAlignment="1">
      <alignment horizontal="center" vertical="center"/>
    </xf>
    <xf numFmtId="0" fontId="39" fillId="0" borderId="42" xfId="0" applyFont="1" applyBorder="1" applyAlignment="1">
      <alignment horizontal="center" vertical="center"/>
    </xf>
    <xf numFmtId="0" fontId="39" fillId="0" borderId="21" xfId="0" applyFont="1" applyBorder="1" applyAlignment="1">
      <alignment horizontal="center" vertical="center"/>
    </xf>
    <xf numFmtId="0" fontId="17" fillId="8" borderId="45" xfId="26" applyFont="1" applyFill="1" applyBorder="1" applyAlignment="1">
      <alignment horizontal="center" vertical="center" wrapText="1"/>
    </xf>
    <xf numFmtId="0" fontId="17" fillId="8" borderId="3" xfId="26" applyFont="1" applyFill="1" applyBorder="1" applyAlignment="1">
      <alignment horizontal="center" vertical="center" wrapText="1"/>
    </xf>
    <xf numFmtId="0" fontId="17" fillId="8" borderId="2" xfId="26" applyFont="1" applyFill="1" applyBorder="1" applyAlignment="1">
      <alignment horizontal="center" vertical="center" wrapText="1"/>
    </xf>
    <xf numFmtId="0" fontId="47" fillId="8" borderId="45" xfId="26" applyFont="1" applyFill="1" applyBorder="1" applyAlignment="1">
      <alignment horizontal="left" vertical="center" wrapText="1"/>
    </xf>
    <xf numFmtId="0" fontId="47" fillId="8" borderId="3" xfId="26" applyFont="1" applyFill="1" applyBorder="1" applyAlignment="1">
      <alignment horizontal="left" vertical="center" wrapText="1"/>
    </xf>
    <xf numFmtId="0" fontId="47" fillId="8" borderId="2" xfId="26" applyFont="1" applyFill="1" applyBorder="1" applyAlignment="1">
      <alignment horizontal="left" vertical="center" wrapText="1"/>
    </xf>
    <xf numFmtId="0" fontId="17" fillId="8" borderId="1" xfId="27" applyFont="1" applyFill="1" applyBorder="1" applyAlignment="1">
      <alignment horizontal="center" vertical="center" wrapText="1"/>
    </xf>
    <xf numFmtId="17" fontId="11" fillId="8" borderId="1" xfId="27" applyNumberFormat="1" applyFont="1" applyFill="1" applyBorder="1" applyAlignment="1">
      <alignment horizontal="center" vertical="center" wrapText="1"/>
    </xf>
    <xf numFmtId="0" fontId="11" fillId="8" borderId="1" xfId="27" applyFont="1" applyFill="1" applyBorder="1" applyAlignment="1">
      <alignment horizontal="center" vertical="center" wrapText="1"/>
    </xf>
    <xf numFmtId="0" fontId="17" fillId="8" borderId="5" xfId="27" applyFont="1" applyFill="1" applyBorder="1" applyAlignment="1">
      <alignment horizontal="center" vertical="center" wrapText="1"/>
    </xf>
    <xf numFmtId="0" fontId="17" fillId="8" borderId="6" xfId="27" applyFont="1" applyFill="1" applyBorder="1" applyAlignment="1">
      <alignment horizontal="center" vertical="center" wrapText="1"/>
    </xf>
    <xf numFmtId="0" fontId="17" fillId="8" borderId="7" xfId="27" applyFont="1" applyFill="1" applyBorder="1" applyAlignment="1">
      <alignment horizontal="center" vertical="center" wrapText="1"/>
    </xf>
    <xf numFmtId="0" fontId="17" fillId="8" borderId="8" xfId="27" applyFont="1" applyFill="1" applyBorder="1" applyAlignment="1">
      <alignment horizontal="center" vertical="center" wrapText="1"/>
    </xf>
    <xf numFmtId="0" fontId="17" fillId="8" borderId="4" xfId="27" applyFont="1" applyFill="1" applyBorder="1" applyAlignment="1">
      <alignment horizontal="center" vertical="center" wrapText="1"/>
    </xf>
    <xf numFmtId="170" fontId="25" fillId="11" borderId="44" xfId="19" applyNumberFormat="1" applyFont="1" applyFill="1" applyBorder="1" applyAlignment="1">
      <alignment horizontal="left" vertical="top" wrapText="1"/>
    </xf>
  </cellXfs>
  <cellStyles count="28">
    <cellStyle name="cf1" xfId="2" xr:uid="{00000000-0005-0000-0000-000000000000}"/>
    <cellStyle name="cf2" xfId="3" xr:uid="{00000000-0005-0000-0000-000001000000}"/>
    <cellStyle name="cf3" xfId="4" xr:uid="{00000000-0005-0000-0000-000002000000}"/>
    <cellStyle name="cf4" xfId="5" xr:uid="{00000000-0005-0000-0000-000003000000}"/>
    <cellStyle name="cf5" xfId="6" xr:uid="{00000000-0005-0000-0000-000004000000}"/>
    <cellStyle name="cf6" xfId="7" xr:uid="{00000000-0005-0000-0000-000005000000}"/>
    <cellStyle name="Comma" xfId="1" builtinId="3" customBuiltin="1"/>
    <cellStyle name="Comma 2" xfId="10" xr:uid="{941E881E-2B46-46DC-80CB-1B7E16DCA0F0}"/>
    <cellStyle name="Comma 2 2" xfId="19" xr:uid="{67EC997A-B24D-4997-9903-0C1538B7DFDE}"/>
    <cellStyle name="Comma 3" xfId="12" xr:uid="{FEE0E0B3-7A7D-4E2F-B356-3251A69BBA2B}"/>
    <cellStyle name="Comma 4" xfId="16" xr:uid="{34056264-B602-4553-9AF9-FFCC877D80A2}"/>
    <cellStyle name="Comma 5" xfId="18" xr:uid="{15131CDB-3514-492F-9C59-F5B00AF8A683}"/>
    <cellStyle name="Comma 6" xfId="21" xr:uid="{B98A50F3-A9E9-43DA-965A-F5275345C26D}"/>
    <cellStyle name="Comma 7" xfId="23" xr:uid="{A826E0A2-200D-4E46-88D6-986F13CB1C01}"/>
    <cellStyle name="Normal" xfId="0" builtinId="0" customBuiltin="1"/>
    <cellStyle name="Normal 10" xfId="13" xr:uid="{340B9130-A5C6-4191-9F1C-2169BCD0C5D4}"/>
    <cellStyle name="Normal 2" xfId="8" xr:uid="{00000000-0005-0000-0000-000008000000}"/>
    <cellStyle name="Normal 2 2" xfId="26" xr:uid="{A9E7D64D-A975-4A64-AE5B-9EAB453106F6}"/>
    <cellStyle name="Normal 3" xfId="9" xr:uid="{5104E552-D5D9-488C-84E8-AA4613EDCB12}"/>
    <cellStyle name="Normal 3 2" xfId="11" xr:uid="{7384B4B2-0EB9-4D5D-BA65-2078AA001EDA}"/>
    <cellStyle name="Normal 4" xfId="15" xr:uid="{78ADC40F-8FB1-43E6-A71D-9F3104DA2538}"/>
    <cellStyle name="Normal 5" xfId="17" xr:uid="{03236C65-6DC2-4AEE-AAB6-D178434F4C03}"/>
    <cellStyle name="Normal 6" xfId="22" xr:uid="{1C39986B-BF42-4F72-8B79-82BA77393A1A}"/>
    <cellStyle name="Normal 7" xfId="25" xr:uid="{5CA80522-CC62-4AF6-AFEA-7C01A9A87B89}"/>
    <cellStyle name="Normal 8" xfId="27" xr:uid="{0AFE9D9E-931B-4EBA-B74C-C1B8FABF2D86}"/>
    <cellStyle name="Percent" xfId="24" builtinId="5"/>
    <cellStyle name="Percent 2" xfId="14" xr:uid="{873210D7-8B88-40A0-8B7C-069302C784DD}"/>
    <cellStyle name="Percent 3" xfId="20" xr:uid="{A84306F8-F6E4-47D3-8D52-61395F88A96E}"/>
  </cellStyles>
  <dxfs count="83">
    <dxf>
      <font>
        <b/>
        <i val="0"/>
        <color auto="1"/>
      </font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numFmt numFmtId="30" formatCode="@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numFmt numFmtId="30" formatCode="@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numFmt numFmtId="30" formatCode="@"/>
    </dxf>
    <dxf>
      <font>
        <color theme="0"/>
      </font>
      <numFmt numFmtId="30" formatCode="@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Narrow"/>
        <family val="2"/>
        <scheme val="none"/>
      </font>
      <numFmt numFmtId="170" formatCode="_(* #,##0_);_(* \(#,##0\);_(* &quot;--&quot;_);_(@_)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Narrow"/>
        <family val="2"/>
        <scheme val="none"/>
      </font>
      <numFmt numFmtId="167" formatCode="_-* #,##0_-;\(#,##0\)_-;_-* &quot;-&quot;_-;_-@_-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Narrow"/>
        <family val="2"/>
        <scheme val="none"/>
      </font>
      <numFmt numFmtId="167" formatCode="_-* #,##0_-;\(#,##0\)_-;_-* &quot;-&quot;_-;_-@_-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Narrow"/>
        <family val="2"/>
        <scheme val="none"/>
      </font>
      <numFmt numFmtId="167" formatCode="_-* #,##0_-;\(#,##0\)_-;_-* &quot;-&quot;_-;_-@_-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Narrow"/>
        <family val="2"/>
        <scheme val="none"/>
      </font>
      <numFmt numFmtId="167" formatCode="_-* #,##0_-;\(#,##0\)_-;_-* &quot;-&quot;_-;_-@_-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Narrow"/>
        <family val="2"/>
        <scheme val="none"/>
      </font>
      <numFmt numFmtId="167" formatCode="_-* #,##0_-;\(#,##0\)_-;_-* &quot;-&quot;_-;_-@_-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Narrow"/>
        <family val="2"/>
        <scheme val="none"/>
      </font>
      <numFmt numFmtId="167" formatCode="_-* #,##0_-;\(#,##0\)_-;_-* &quot;-&quot;_-;_-@_-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Narrow"/>
        <family val="2"/>
        <scheme val="none"/>
      </font>
      <numFmt numFmtId="167" formatCode="_-* #,##0_-;\(#,##0\)_-;_-* &quot;-&quot;_-;_-@_-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Narrow"/>
        <family val="2"/>
        <scheme val="none"/>
      </font>
      <numFmt numFmtId="167" formatCode="_-* #,##0_-;\(#,##0\)_-;_-* &quot;-&quot;_-;_-@_-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Narrow"/>
        <family val="2"/>
        <scheme val="none"/>
      </font>
      <numFmt numFmtId="167" formatCode="_-* #,##0_-;\(#,##0\)_-;_-* &quot;-&quot;_-;_-@_-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Narrow"/>
        <family val="2"/>
        <scheme val="none"/>
      </font>
      <numFmt numFmtId="167" formatCode="_-* #,##0_-;\(#,##0\)_-;_-* &quot;-&quot;_-;_-@_-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Narrow"/>
        <family val="2"/>
        <scheme val="none"/>
      </font>
      <numFmt numFmtId="167" formatCode="_-* #,##0_-;\(#,##0\)_-;_-* &quot;-&quot;_-;_-@_-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Narrow"/>
        <family val="2"/>
        <scheme val="none"/>
      </font>
      <numFmt numFmtId="167" formatCode="_-* #,##0_-;\(#,##0\)_-;_-* &quot;-&quot;_-;_-@_-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Narrow"/>
        <family val="2"/>
        <scheme val="none"/>
      </font>
      <numFmt numFmtId="167" formatCode="_-* #,##0_-;\(#,##0\)_-;_-* &quot;-&quot;_-;_-@_-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Narrow"/>
        <family val="2"/>
        <scheme val="none"/>
      </font>
      <numFmt numFmtId="167" formatCode="_-* #,##0_-;\(#,##0\)_-;_-* &quot;-&quot;_-;_-@_-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Narrow"/>
        <family val="2"/>
        <scheme val="none"/>
      </font>
      <numFmt numFmtId="167" formatCode="_-* #,##0_-;\(#,##0\)_-;_-* &quot;-&quot;_-;_-@_-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Narrow"/>
        <family val="2"/>
        <scheme val="none"/>
      </font>
      <numFmt numFmtId="167" formatCode="_-* #,##0_-;\(#,##0\)_-;_-* &quot;-&quot;_-;_-@_-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Narrow"/>
        <family val="2"/>
        <scheme val="none"/>
      </font>
      <numFmt numFmtId="167" formatCode="_-* #,##0_-;\(#,##0\)_-;_-* &quot;-&quot;_-;_-@_-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Narrow"/>
        <family val="2"/>
        <scheme val="none"/>
      </font>
      <numFmt numFmtId="167" formatCode="_-* #,##0_-;\(#,##0\)_-;_-* &quot;-&quot;_-;_-@_-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Narrow"/>
        <family val="2"/>
        <scheme val="none"/>
      </font>
      <numFmt numFmtId="167" formatCode="_-* #,##0_-;\(#,##0\)_-;_-* &quot;-&quot;_-;_-@_-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Narrow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Narrow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Narrow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Narrow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Narrow"/>
        <family val="2"/>
        <scheme val="none"/>
      </font>
      <numFmt numFmtId="170" formatCode="_(* #,##0_);_(* \(#,##0\);_(* &quot;--&quot;_);_(@_)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Narrow"/>
        <family val="2"/>
        <scheme val="none"/>
      </font>
      <numFmt numFmtId="170" formatCode="_(* #,##0_);_(* \(#,##0\);_(* &quot;--&quot;_);_(@_)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Narrow"/>
        <family val="2"/>
        <scheme val="none"/>
      </font>
      <numFmt numFmtId="170" formatCode="_(* #,##0_);_(* \(#,##0\);_(* &quot;--&quot;_);_(@_)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Narrow"/>
        <family val="2"/>
        <scheme val="none"/>
      </font>
      <numFmt numFmtId="170" formatCode="_(* #,##0_);_(* \(#,##0\);_(* &quot;--&quot;_);_(@_)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Narrow"/>
        <family val="2"/>
        <scheme val="none"/>
      </font>
      <numFmt numFmtId="170" formatCode="_(* #,##0_);_(* \(#,##0\);_(* &quot;--&quot;_);_(@_)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Narrow"/>
        <family val="2"/>
        <scheme val="none"/>
      </font>
      <numFmt numFmtId="170" formatCode="_(* #,##0_);_(* \(#,##0\);_(* &quot;--&quot;_);_(@_)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Narrow"/>
        <family val="2"/>
        <scheme val="none"/>
      </font>
      <numFmt numFmtId="170" formatCode="_(* #,##0_);_(* \(#,##0\);_(* &quot;--&quot;_);_(@_)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Narrow"/>
        <family val="2"/>
        <scheme val="none"/>
      </font>
      <numFmt numFmtId="178" formatCode="_(* #,##0.00_);_(* \(#,##0.00\);_(* &quot;--&quot;_);_(@_)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Narrow"/>
        <family val="2"/>
        <scheme val="none"/>
      </font>
      <numFmt numFmtId="170" formatCode="_(* #,##0_);_(* \(#,##0\);_(* &quot;--&quot;_);_(@_)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Narrow"/>
        <family val="2"/>
        <scheme val="none"/>
      </font>
      <numFmt numFmtId="164" formatCode="&quot; &quot;#,##0&quot; &quot;;&quot;-&quot;#,##0&quot; &quot;;&quot; -&quot;00&quot; &quot;;&quot; &quot;@&quot; &quot;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Narrow"/>
        <family val="2"/>
        <scheme val="none"/>
      </font>
      <numFmt numFmtId="170" formatCode="_(* #,##0_);_(* \(#,##0\);_(* &quot;--&quot;_);_(@_)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Narrow"/>
        <family val="2"/>
        <scheme val="none"/>
      </font>
      <numFmt numFmtId="170" formatCode="_(* #,##0_);_(* \(#,##0\);_(* &quot;--&quot;_);_(@_)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Narrow"/>
        <family val="2"/>
        <scheme val="none"/>
      </font>
      <numFmt numFmtId="170" formatCode="_(* #,##0_);_(* \(#,##0\);_(* &quot;--&quot;_);_(@_)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Narrow"/>
        <family val="2"/>
        <scheme val="none"/>
      </font>
      <numFmt numFmtId="170" formatCode="_(* #,##0_);_(* \(#,##0\);_(* &quot;--&quot;_);_(@_)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Narrow"/>
        <family val="2"/>
        <scheme val="none"/>
      </font>
      <numFmt numFmtId="170" formatCode="_(* #,##0_);_(* \(#,##0\);_(* &quot;--&quot;_);_(@_)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Narrow"/>
        <family val="2"/>
        <scheme val="none"/>
      </font>
      <numFmt numFmtId="170" formatCode="_(* #,##0_);_(* \(#,##0\);_(* &quot;--&quot;_);_(@_)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Narrow"/>
        <family val="2"/>
        <scheme val="none"/>
      </font>
      <numFmt numFmtId="170" formatCode="_(* #,##0_);_(* \(#,##0\);_(* &quot;--&quot;_);_(@_)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Narrow"/>
        <family val="2"/>
        <scheme val="none"/>
      </font>
      <numFmt numFmtId="170" formatCode="_(* #,##0_);_(* \(#,##0\);_(* &quot;--&quot;_);_(@_)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Narrow"/>
        <family val="2"/>
        <scheme val="none"/>
      </font>
      <numFmt numFmtId="170" formatCode="_(* #,##0_);_(* \(#,##0\);_(* &quot;--&quot;_);_(@_)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Narrow"/>
        <family val="2"/>
        <scheme val="none"/>
      </font>
      <numFmt numFmtId="170" formatCode="_(* #,##0_);_(* \(#,##0\);_(* &quot;--&quot;_);_(@_)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Narrow"/>
        <family val="2"/>
        <scheme val="none"/>
      </font>
      <numFmt numFmtId="164" formatCode="&quot; &quot;#,##0&quot; &quot;;&quot;-&quot;#,##0&quot; &quot;;&quot; -&quot;00&quot; &quot;;&quot; &quot;@&quot; &quot;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Narrow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Narrow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Narrow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Narrow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Narrow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Narrow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Narrow"/>
        <family val="2"/>
        <scheme val="none"/>
      </font>
      <numFmt numFmtId="164" formatCode="&quot; &quot;#,##0&quot; &quot;;&quot;-&quot;#,##0&quot; &quot;;&quot; -&quot;00&quot; &quot;;&quot; &quot;@&quot; &quot;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Narrow"/>
        <family val="2"/>
        <scheme val="none"/>
      </font>
      <numFmt numFmtId="169" formatCode="[$-409]d/mmm/yy;@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Narrow"/>
        <family val="2"/>
        <scheme val="none"/>
      </font>
      <numFmt numFmtId="164" formatCode="&quot; &quot;#,##0&quot; &quot;;&quot;-&quot;#,##0&quot; &quot;;&quot; -&quot;00&quot; &quot;;&quot; &quot;@&quot; &quot;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Narrow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Narrow"/>
        <family val="2"/>
        <scheme val="none"/>
      </font>
      <numFmt numFmtId="164" formatCode="&quot; &quot;#,##0&quot; &quot;;&quot;-&quot;#,##0&quot; &quot;;&quot; -&quot;00&quot; &quot;;&quot; &quot;@&quot; &quot;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Narrow"/>
        <family val="2"/>
        <scheme val="none"/>
      </font>
      <numFmt numFmtId="169" formatCode="[$-409]d/mmm/yy;@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Narrow"/>
        <family val="2"/>
        <scheme val="none"/>
      </font>
      <numFmt numFmtId="164" formatCode="&quot; &quot;#,##0&quot; &quot;;&quot;-&quot;#,##0&quot; &quot;;&quot; -&quot;00&quot; &quot;;&quot; &quot;@&quot; &quot;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border outline="0">
        <left style="hair">
          <color auto="1"/>
        </left>
        <top style="hair">
          <color auto="1"/>
        </top>
        <bottom style="hair">
          <color auto="1"/>
        </bottom>
      </border>
    </dxf>
    <dxf>
      <font>
        <b val="0"/>
        <strike val="0"/>
        <outline val="0"/>
        <shadow val="0"/>
        <u val="none"/>
        <vertAlign val="baseline"/>
        <sz val="9"/>
        <color auto="1"/>
        <name val="Arial Narrow"/>
        <family val="2"/>
        <scheme val="none"/>
      </font>
      <fill>
        <patternFill patternType="none">
          <fgColor indexed="64"/>
          <bgColor auto="1"/>
        </patternFill>
      </fill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Narrow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0" defaultTableStyle="TableStyleMedium2" defaultPivotStyle="PivotStyleLight16"/>
  <colors>
    <mruColors>
      <color rgb="FFFF9999"/>
      <color rgb="FFFF7C8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1756159</xdr:colOff>
      <xdr:row>2</xdr:row>
      <xdr:rowOff>140971</xdr:rowOff>
    </xdr:from>
    <xdr:to>
      <xdr:col>5</xdr:col>
      <xdr:colOff>131445</xdr:colOff>
      <xdr:row>8</xdr:row>
      <xdr:rowOff>173355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578177-82DC-42B9-82EE-CF8B8912FB8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0279" y="1085851"/>
          <a:ext cx="2440556" cy="1137284"/>
        </a:xfrm>
        <a:prstGeom prst="rect">
          <a:avLst/>
        </a:prstGeom>
        <a:noFill/>
        <a:ln>
          <a:noFill/>
        </a:ln>
        <a:effectLst>
          <a:reflection blurRad="228600" endPos="0" dist="50800" dir="5400000" sy="-100000" algn="bl" rotWithShape="0"/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1756159</xdr:colOff>
      <xdr:row>2</xdr:row>
      <xdr:rowOff>140971</xdr:rowOff>
    </xdr:from>
    <xdr:to>
      <xdr:col>5</xdr:col>
      <xdr:colOff>127635</xdr:colOff>
      <xdr:row>8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A7AB77-1D81-4E69-AD0B-44FDF1ADC62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0759" y="537211"/>
          <a:ext cx="2440556" cy="1137284"/>
        </a:xfrm>
        <a:prstGeom prst="rect">
          <a:avLst/>
        </a:prstGeom>
        <a:noFill/>
        <a:ln>
          <a:noFill/>
        </a:ln>
        <a:effectLst>
          <a:reflection blurRad="228600" endPos="0" dist="50800" dir="5400000" sy="-100000" algn="bl" rotWithShape="0"/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B49D07-4706-4C63-BC72-3BBB0048ACC7}" name="Master" displayName="Master" ref="B7:BG53" totalsRowShown="0" headerRowDxfId="82" dataDxfId="80" headerRowBorderDxfId="81" tableBorderDxfId="79" headerRowCellStyle="Normal 3 2">
  <autoFilter ref="B7:BG53" xr:uid="{CAB49D07-4706-4C63-BC72-3BBB0048ACC7}"/>
  <tableColumns count="58">
    <tableColumn id="1" xr3:uid="{AC20123D-7EEA-4559-949C-AF42D2F53E3F}" name="Sr.No" dataDxfId="78" dataCellStyle="Comma 2 2"/>
    <tableColumn id="2" xr3:uid="{74A56D97-7BF2-4278-8B71-0947622DB3BF}" name="date of last increment" dataDxfId="77" dataCellStyle="Comma 2 2"/>
    <tableColumn id="3" xr3:uid="{9F02F73B-FDDC-46F0-A304-649CDE96BC2B}" name="last incremnet " dataDxfId="76" dataCellStyle="Comma 2 2"/>
    <tableColumn id="4" xr3:uid="{D5EDF8CD-ED44-4113-94DE-BBE677886DA7}" name="# Months Since Last Increment" dataDxfId="75" dataCellStyle="Comma 2 2"/>
    <tableColumn id="5" xr3:uid="{D26EBC67-61B7-47A4-9046-9922AF47D936}" name="Emp Code" dataDxfId="74" dataCellStyle="Comma 2 2"/>
    <tableColumn id="6" xr3:uid="{8DCB5C4D-838E-485E-8E32-3B82D1BE6925}" name="DOJ (DD/MM/Y)" dataDxfId="73" dataCellStyle="Comma 2 2"/>
    <tableColumn id="7" xr3:uid="{B0D5CACE-6BD6-47C2-86F9-F491AC135B6B}" name="CURRENT STATUS" dataDxfId="72" dataCellStyle="Comma 2 2"/>
    <tableColumn id="8" xr3:uid="{004523C2-FEE4-4970-A592-4C1ABF61AC1C}" name="Employee Name (CNIC)" dataDxfId="71" dataCellStyle="Comma 2 2"/>
    <tableColumn id="9" xr3:uid="{C781BFDF-70B5-432A-B13A-CFB85150FE71}" name="Department" dataDxfId="70" dataCellStyle="Comma 2 2"/>
    <tableColumn id="10" xr3:uid="{7F3214BA-20E5-4E63-B7B3-BE1EB02E506C}" name="Designation" dataDxfId="69" dataCellStyle="Comma 2 2"/>
    <tableColumn id="11" xr3:uid="{77A9C904-86BA-4EAA-B5F1-D9737A375AC4}" name="Reporting Manager" dataDxfId="68" dataCellStyle="Comma 2 2"/>
    <tableColumn id="12" xr3:uid="{78F9F263-76C9-4E31-8699-504003461242}" name="MCS" dataDxfId="67" dataCellStyle="Comma 2 2"/>
    <tableColumn id="13" xr3:uid="{ABE5C17F-5637-4B1D-BBD7-DAA97D6AB1F7}" name="BRAND" dataDxfId="66" dataCellStyle="Comma 2 2"/>
    <tableColumn id="14" xr3:uid="{3C613382-E77E-41C6-8090-3EA3F41FD67E}" name="Status" dataDxfId="65" dataCellStyle="Comma 2 2"/>
    <tableColumn id="15" xr3:uid="{9825C6A3-78A4-484B-8BEF-46C8D7553811}" name="Gross Salary" dataDxfId="64" dataCellStyle="Comma 2 2"/>
    <tableColumn id="16" xr3:uid="{BDB493A3-A1C5-4680-9E12-689F7095C1C0}" name="Basic Salary" dataDxfId="63" dataCellStyle="Comma 2 2">
      <calculatedColumnFormula>P8/160%</calculatedColumnFormula>
    </tableColumn>
    <tableColumn id="17" xr3:uid="{B97F2F19-6201-4FCE-A64A-8AEB1B8E6C21}" name="H.Rent All" dataDxfId="62" dataCellStyle="Comma 2 2">
      <calculatedColumnFormula>40/100*Q8</calculatedColumnFormula>
    </tableColumn>
    <tableColumn id="18" xr3:uid="{B315FE7D-D32F-4189-81D4-4E49D6B70DAF}" name="Ut. All" dataDxfId="61" dataCellStyle="Comma 2 2">
      <calculatedColumnFormula>10/100*Q8</calculatedColumnFormula>
    </tableColumn>
    <tableColumn id="19" xr3:uid="{068C0855-9DF9-4A9E-8CD2-DF65872EB982}" name="Conv. All" dataDxfId="60" dataCellStyle="Comma 2 2">
      <calculatedColumnFormula>10/100*Q8</calculatedColumnFormula>
    </tableColumn>
    <tableColumn id="20" xr3:uid="{DCF16D3C-4218-414D-B414-568D52BEABD2}" name="Gross salary with Conveyance" dataDxfId="59" dataCellStyle="Comma 2 2">
      <calculatedColumnFormula>Q8+R8+S8+T8</calculatedColumnFormula>
    </tableColumn>
    <tableColumn id="21" xr3:uid="{DAECB43C-3A8F-4041-B161-79D3208358FA}" name="Bonus/Incentive/ Reimbursemet" dataDxfId="58" dataCellStyle="Comma 2 2"/>
    <tableColumn id="22" xr3:uid="{F5B020E9-431A-460A-B754-374343096374}" name="No.Extra Days" dataDxfId="57" dataCellStyle="Comma 2 2"/>
    <tableColumn id="23" xr3:uid="{78B19F17-6497-42F9-8269-4DBFCD916C6D}" name="Amount Ex. Days" dataDxfId="56" dataCellStyle="Comma 2 2">
      <calculatedColumnFormula>P8/$G$5*W8</calculatedColumnFormula>
    </tableColumn>
    <tableColumn id="24" xr3:uid="{1D932AA1-05B5-456A-BB8B-B6303761F8E1}" name="DISAPPROVED  Absent Days" dataDxfId="55" dataCellStyle="Comma 2 2"/>
    <tableColumn id="25" xr3:uid="{7C8C251D-22B0-4AD0-87F6-4D9228A1FA6B}" name="Deduction absent Days" dataDxfId="54" dataCellStyle="Comma">
      <calculatedColumnFormula>P8/$G$5*Y8</calculatedColumnFormula>
    </tableColumn>
    <tableColumn id="26" xr3:uid="{92F3B820-FAD6-40A4-BF1F-A0D3FAB56D71}" name="Hourly Rate" dataDxfId="53" dataCellStyle="Comma 2 2">
      <calculatedColumnFormula>P8/$G$5/9</calculatedColumnFormula>
    </tableColumn>
    <tableColumn id="27" xr3:uid="{8F77B6F9-8456-4203-B071-CA6230DC26A2}" name="No. of Ded Hours" dataDxfId="52" dataCellStyle="Comma 2 2"/>
    <tableColumn id="28" xr3:uid="{2AB80D4C-F0A6-4496-A504-70949B272CCD}" name="Ded Amt Hrs" dataDxfId="51" dataCellStyle="Comma 2 2">
      <calculatedColumnFormula>AA8*AB8</calculatedColumnFormula>
    </tableColumn>
    <tableColumn id="29" xr3:uid="{3AF123C2-E518-49EF-9E62-3A2EE1D6FF71}" name="Net Gross" dataDxfId="50" dataCellStyle="Comma 2 2">
      <calculatedColumnFormula>U8+V8+X8-Z8-AC8</calculatedColumnFormula>
    </tableColumn>
    <tableColumn id="30" xr3:uid="{76FD9E2B-AE5C-4EC7-9C2D-5049E9F182DC}" name="Tax" dataDxfId="49" dataCellStyle="Comma 2 2"/>
    <tableColumn id="31" xr3:uid="{B3108B74-3AB1-4787-858A-9F6F55023683}" name="EOBI" dataDxfId="48" dataCellStyle="Comma 2 2"/>
    <tableColumn id="32" xr3:uid="{514A0021-376C-4D0C-A8B7-139CD91DEA89}" name="Advance" dataDxfId="47" dataCellStyle="Comma 2 2"/>
    <tableColumn id="33" xr3:uid="{7F6F2D90-A7A1-4852-9BDD-031D01617B45}" name="Loan" dataDxfId="46" dataCellStyle="Comma 2 2"/>
    <tableColumn id="34" xr3:uid="{F37F7FBD-6945-4035-B493-F4BC1B18B336}" name="Net Pay" dataDxfId="45" dataCellStyle="Comma 2 2">
      <calculatedColumnFormula>AD8-AE8-AG8-AH8-AF8</calculatedColumnFormula>
    </tableColumn>
    <tableColumn id="35" xr3:uid="{84234A00-C3DD-4F1C-AF73-831048B7F59B}" name="Bank Name" dataDxfId="44" dataCellStyle="Comma 2 2"/>
    <tableColumn id="36" xr3:uid="{C3E5C5A9-7316-4A2C-B703-6FD54258DDC8}" name="AC Number" dataDxfId="43" dataCellStyle="Comma 2 2"/>
    <tableColumn id="37" xr3:uid="{761A6B65-FB1C-4592-AFC9-D1F29F33DF5A}" name="CNIC" dataDxfId="42" dataCellStyle="Comma 2 2"/>
    <tableColumn id="38" xr3:uid="{B88935EF-AC01-46B2-A67E-4894B9D22A7D}" name="Account Title" dataDxfId="41" dataCellStyle="Comma 2 2"/>
    <tableColumn id="39" xr3:uid="{BF7FFD12-1792-4262-A964-DDAC302D224F}" name="HBL" dataDxfId="40" dataCellStyle="Comma 2 2"/>
    <tableColumn id="40" xr3:uid="{26668016-38CB-4276-81D8-CED7343C8C57}" name="Samba" dataDxfId="39" dataCellStyle="Comma 2 2"/>
    <tableColumn id="41" xr3:uid="{2B01FDF7-9F83-46B2-9E5C-418D6D42BD73}" name="Cheque" dataDxfId="38" dataCellStyle="Comma 2 2"/>
    <tableColumn id="42" xr3:uid="{8F9C7C6B-EA80-4E10-9905-326E78A85186}" name="IBFT" dataDxfId="37" dataCellStyle="Comma 2 2"/>
    <tableColumn id="43" xr3:uid="{3903DDF1-CE17-4BC7-9A7F-3A69F7376FE3}" name="Cash" dataDxfId="36" dataCellStyle="Comma 2 2"/>
    <tableColumn id="44" xr3:uid="{E5D425FE-9DB1-4D54-AB74-A3FE695D5074}" name="Payments" dataDxfId="35" dataCellStyle="Comma 2 2">
      <calculatedColumnFormula>SUM(AN8:AR8)</calculatedColumnFormula>
    </tableColumn>
    <tableColumn id="45" xr3:uid="{76F2C477-ADAA-4F8F-8F53-C37A12F2CFBC}" name="Hold" dataDxfId="34" dataCellStyle="Comma 2 2"/>
    <tableColumn id="46" xr3:uid="{2A6750FD-FE33-4966-A840-9D171D8FFBFB}" name="Total" dataDxfId="33" dataCellStyle="Comma 2 2">
      <calculatedColumnFormula>+AS8+AT8</calculatedColumnFormula>
    </tableColumn>
    <tableColumn id="47" xr3:uid="{89BB0EDC-9A7E-427D-86CC-3EDE652CA6A8}" name="Payment Status" dataDxfId="32" dataCellStyle="Normal 3 2">
      <calculatedColumnFormula>+AI8-AU8</calculatedColumnFormula>
    </tableColumn>
    <tableColumn id="48" xr3:uid="{33959CF7-54FE-4C5C-8FCA-D155C34FE666}" name="1st Batch_x000a_HBL to HBL_x000a_08 May 2024" dataDxfId="31" dataCellStyle="Normal 3 2"/>
    <tableColumn id="49" xr3:uid="{2A500C42-A65B-408B-833B-9267E16D063B}" name="2nd Batch_x000a_IBFT_x000a_08 May 2024" dataDxfId="30" dataCellStyle="Normal 3 2"/>
    <tableColumn id="52" xr3:uid="{4F29E66B-8990-49B3-A29F-4CD120A57F19}" name="3rd Batch_x000a_Cash_x000a_08 May 2024" dataDxfId="29" dataCellStyle="Normal 3 2"/>
    <tableColumn id="50" xr3:uid="{8026EC6A-A198-4EE3-8B0D-19CE65E65E39}" name="4th Batch_x000a_HBL to HBL_x000a_10 May 2022" dataDxfId="28" dataCellStyle="Normal 3 2"/>
    <tableColumn id="51" xr3:uid="{FA1E63B4-B3F0-4EFE-85E6-5FC87FB5C393}" name="5th Batch_x000a_IBFT_x000a_10 May 2022" dataDxfId="27" dataCellStyle="Normal 3 2"/>
    <tableColumn id="58" xr3:uid="{5A149008-9713-4E10-A78D-87D6938922E8}" name="Column4" dataDxfId="26" dataCellStyle="Normal 3 2"/>
    <tableColumn id="53" xr3:uid="{60CEB5AD-D662-4BAA-8C1C-FC6763395DAE}" name="On Hold" dataDxfId="25" dataCellStyle="Normal 3 2"/>
    <tableColumn id="54" xr3:uid="{56F46C03-2C1B-4AD2-97CA-8B03D0AA34EC}" name="Total3" dataDxfId="24" dataCellStyle="Normal 3 2">
      <calculatedColumnFormula>SUM(AW8:BC8)</calculatedColumnFormula>
    </tableColumn>
    <tableColumn id="55" xr3:uid="{FF27BB46-C605-465A-8A9D-62EFDA24CBA4}" name="Difference" dataDxfId="23" dataCellStyle="Normal 3 2">
      <calculatedColumnFormula>BD8-AU8</calculatedColumnFormula>
    </tableColumn>
    <tableColumn id="56" xr3:uid="{92E19A1A-3456-4003-B2CC-E7DA9F0E43D1}" name="Region" dataDxfId="22" dataCellStyle="Normal 3 2"/>
    <tableColumn id="57" xr3:uid="{DA9EB8DA-063D-4500-A042-AB2EBE7248A5}" name="EOBI Employers' Contribution" dataDxfId="21" dataCellStyle="Normal 3 2">
      <calculatedColumnFormula>AF8/1*5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5045B-88AE-4B1A-965D-EE46DBAA4BF1}">
  <sheetPr codeName="Sheet2">
    <pageSetUpPr fitToPage="1"/>
  </sheetPr>
  <dimension ref="A1:BK118"/>
  <sheetViews>
    <sheetView tabSelected="1" zoomScale="90" zoomScaleNormal="90" zoomScaleSheetLayoutView="85" workbookViewId="0">
      <pane xSplit="15" ySplit="7" topLeftCell="AD46" activePane="bottomRight" state="frozen"/>
      <selection pane="topRight" activeCell="P1" sqref="P1"/>
      <selection pane="bottomLeft" activeCell="A8" sqref="A8"/>
      <selection pane="bottomRight" activeCell="AG48" sqref="AG48"/>
    </sheetView>
  </sheetViews>
  <sheetFormatPr defaultColWidth="8.88671875" defaultRowHeight="13.2" x14ac:dyDescent="0.3"/>
  <cols>
    <col min="1" max="1" width="3.33203125" style="48" customWidth="1"/>
    <col min="2" max="2" width="6.44140625" style="48" customWidth="1"/>
    <col min="3" max="3" width="9.33203125" style="48" customWidth="1"/>
    <col min="4" max="4" width="7.44140625" style="48" customWidth="1"/>
    <col min="5" max="5" width="11.88671875" style="48" customWidth="1"/>
    <col min="6" max="6" width="6.88671875" style="48" customWidth="1"/>
    <col min="7" max="7" width="10.44140625" style="48" customWidth="1"/>
    <col min="8" max="8" width="8.6640625" style="48" customWidth="1"/>
    <col min="9" max="9" width="18.88671875" style="48" customWidth="1"/>
    <col min="10" max="10" width="9.77734375" style="48" customWidth="1"/>
    <col min="11" max="11" width="18.88671875" style="48" customWidth="1"/>
    <col min="12" max="12" width="13.44140625" style="568" customWidth="1"/>
    <col min="13" max="15" width="5.88671875" style="130" customWidth="1"/>
    <col min="16" max="16" width="11" style="48" customWidth="1"/>
    <col min="17" max="20" width="11" style="48" hidden="1" customWidth="1"/>
    <col min="21" max="21" width="11" style="48" customWidth="1"/>
    <col min="22" max="22" width="12.21875" style="48" customWidth="1"/>
    <col min="23" max="23" width="8.21875" style="48" customWidth="1"/>
    <col min="24" max="24" width="6.77734375" style="48" customWidth="1"/>
    <col min="25" max="25" width="11.5546875" style="48" customWidth="1"/>
    <col min="26" max="26" width="11.88671875" style="308" customWidth="1"/>
    <col min="27" max="27" width="9.6640625" style="48" customWidth="1"/>
    <col min="28" max="28" width="8.33203125" style="48" customWidth="1"/>
    <col min="29" max="29" width="8.6640625" style="48" customWidth="1"/>
    <col min="30" max="31" width="9" style="48" customWidth="1"/>
    <col min="32" max="32" width="9.6640625" style="48" customWidth="1"/>
    <col min="33" max="33" width="12" style="48" customWidth="1"/>
    <col min="34" max="34" width="9.6640625" style="48" customWidth="1"/>
    <col min="35" max="35" width="11.33203125" style="48" customWidth="1"/>
    <col min="36" max="36" width="16.88671875" style="303" customWidth="1"/>
    <col min="37" max="37" width="21.109375" style="48" customWidth="1"/>
    <col min="38" max="38" width="12.109375" style="70" customWidth="1"/>
    <col min="39" max="39" width="21.5546875" style="48" customWidth="1"/>
    <col min="40" max="40" width="9.109375" style="48" customWidth="1"/>
    <col min="41" max="41" width="10.77734375" style="48" customWidth="1"/>
    <col min="42" max="42" width="11.44140625" style="48" customWidth="1"/>
    <col min="43" max="43" width="9.44140625" style="48" customWidth="1"/>
    <col min="44" max="44" width="9.6640625" style="48" customWidth="1"/>
    <col min="45" max="45" width="12.77734375" style="131" customWidth="1"/>
    <col min="46" max="46" width="9.44140625" style="48" customWidth="1"/>
    <col min="47" max="47" width="9.5546875" style="131" customWidth="1"/>
    <col min="48" max="48" width="17" style="48" customWidth="1"/>
    <col min="49" max="49" width="14.33203125" style="48" customWidth="1"/>
    <col min="50" max="50" width="14.21875" style="48" customWidth="1"/>
    <col min="51" max="53" width="12.77734375" style="48" customWidth="1"/>
    <col min="54" max="54" width="11.77734375" style="48" customWidth="1"/>
    <col min="55" max="55" width="10.33203125" style="48" customWidth="1"/>
    <col min="56" max="56" width="12.21875" style="560" customWidth="1"/>
    <col min="57" max="57" width="11.109375" style="130" customWidth="1"/>
    <col min="58" max="58" width="27.21875" style="48" customWidth="1"/>
    <col min="59" max="59" width="8.88671875" style="48" customWidth="1"/>
    <col min="60" max="16384" width="8.88671875" style="48"/>
  </cols>
  <sheetData>
    <row r="1" spans="1:63" s="44" customFormat="1" x14ac:dyDescent="0.3">
      <c r="A1" s="708" t="s">
        <v>195</v>
      </c>
      <c r="B1" s="546"/>
      <c r="C1" s="546"/>
      <c r="D1" s="546"/>
      <c r="E1" s="290">
        <v>43951</v>
      </c>
      <c r="F1" s="547"/>
      <c r="G1" s="548"/>
      <c r="H1" s="546" t="s">
        <v>192</v>
      </c>
      <c r="I1" s="537"/>
      <c r="J1" s="549" t="s">
        <v>274</v>
      </c>
      <c r="K1" s="550">
        <v>276</v>
      </c>
      <c r="L1" s="565"/>
      <c r="M1" s="547"/>
      <c r="N1" s="547"/>
      <c r="O1" s="547"/>
      <c r="P1" s="551"/>
      <c r="Q1" s="551" t="s">
        <v>192</v>
      </c>
      <c r="R1" s="551" t="s">
        <v>192</v>
      </c>
      <c r="S1" s="551" t="s">
        <v>192</v>
      </c>
      <c r="T1" s="551" t="s">
        <v>192</v>
      </c>
      <c r="U1" s="280"/>
      <c r="V1" s="281"/>
      <c r="W1" s="281"/>
      <c r="X1" s="282"/>
      <c r="Y1" s="282"/>
      <c r="Z1" s="305"/>
      <c r="AA1" s="282"/>
      <c r="AB1" s="282"/>
      <c r="AC1" s="282"/>
      <c r="AD1" s="283"/>
      <c r="AE1" s="283"/>
      <c r="AF1" s="281"/>
      <c r="AG1" s="281">
        <v>2000</v>
      </c>
      <c r="AH1" s="281"/>
      <c r="AI1" s="281"/>
      <c r="AJ1" s="301"/>
      <c r="AK1" s="427"/>
      <c r="AL1" s="281"/>
      <c r="AM1" s="281"/>
      <c r="AN1" s="281"/>
      <c r="AO1" s="281"/>
      <c r="AP1" s="281"/>
      <c r="AQ1" s="281"/>
      <c r="AR1" s="281"/>
      <c r="AS1" s="279"/>
      <c r="AT1" s="284"/>
      <c r="AU1" s="279"/>
      <c r="AV1" s="285"/>
      <c r="AW1" s="285"/>
      <c r="AX1" s="285"/>
      <c r="AY1" s="285"/>
      <c r="AZ1" s="285"/>
      <c r="BA1" s="285"/>
      <c r="BB1" s="285"/>
      <c r="BC1" s="285"/>
      <c r="BD1" s="304"/>
      <c r="BE1" s="286"/>
      <c r="BF1" s="546"/>
    </row>
    <row r="2" spans="1:63" s="44" customFormat="1" x14ac:dyDescent="0.3">
      <c r="A2" s="708" t="s">
        <v>0</v>
      </c>
      <c r="B2" s="546"/>
      <c r="C2" s="546"/>
      <c r="D2" s="546"/>
      <c r="E2" s="546"/>
      <c r="F2" s="552"/>
      <c r="G2" s="553"/>
      <c r="H2" s="547"/>
      <c r="I2" s="72"/>
      <c r="J2" s="546"/>
      <c r="K2" s="546"/>
      <c r="L2" s="546"/>
      <c r="M2" s="547"/>
      <c r="N2" s="547"/>
      <c r="O2" s="547"/>
      <c r="P2" s="281"/>
      <c r="Q2" s="281"/>
      <c r="R2" s="281"/>
      <c r="S2" s="281"/>
      <c r="T2" s="281"/>
      <c r="U2" s="280"/>
      <c r="V2" s="281"/>
      <c r="W2" s="281"/>
      <c r="X2" s="281"/>
      <c r="Y2" s="281"/>
      <c r="Z2" s="305"/>
      <c r="AA2" s="281"/>
      <c r="AB2" s="281"/>
      <c r="AC2" s="281"/>
      <c r="AD2" s="281"/>
      <c r="AE2" s="281"/>
      <c r="AF2" s="554"/>
      <c r="AG2" s="555"/>
      <c r="AH2" s="281"/>
      <c r="AI2" s="281"/>
      <c r="AJ2" s="301"/>
      <c r="AK2" s="427"/>
      <c r="AL2" s="281"/>
      <c r="AM2" s="281"/>
      <c r="AN2" s="281"/>
      <c r="AO2" s="281"/>
      <c r="AP2" s="281"/>
      <c r="AQ2" s="281"/>
      <c r="AR2" s="281"/>
      <c r="AS2" s="279"/>
      <c r="AT2" s="284"/>
      <c r="AU2" s="279"/>
      <c r="AV2" s="285"/>
      <c r="AW2" s="285"/>
      <c r="AX2" s="285"/>
      <c r="AY2" s="285"/>
      <c r="AZ2" s="285"/>
      <c r="BA2" s="285"/>
      <c r="BB2" s="285"/>
      <c r="BC2" s="285"/>
      <c r="BD2" s="304"/>
      <c r="BE2" s="286"/>
      <c r="BF2" s="546"/>
    </row>
    <row r="3" spans="1:63" s="44" customFormat="1" x14ac:dyDescent="0.3">
      <c r="A3" s="556" t="s">
        <v>431</v>
      </c>
      <c r="B3" s="309"/>
      <c r="C3" s="309"/>
      <c r="D3" s="309"/>
      <c r="E3" s="309"/>
      <c r="F3" s="546"/>
      <c r="G3" s="548">
        <v>19</v>
      </c>
      <c r="H3" s="547"/>
      <c r="I3" s="72"/>
      <c r="J3" s="546"/>
      <c r="K3" s="557"/>
      <c r="L3" s="546"/>
      <c r="M3" s="547"/>
      <c r="N3" s="547"/>
      <c r="O3" s="547"/>
      <c r="P3" s="287"/>
      <c r="Q3" s="281"/>
      <c r="R3" s="281"/>
      <c r="S3" s="281"/>
      <c r="T3" s="287"/>
      <c r="U3" s="281"/>
      <c r="V3" s="281"/>
      <c r="W3" s="281"/>
      <c r="X3" s="281"/>
      <c r="Y3" s="281"/>
      <c r="Z3" s="305"/>
      <c r="AA3" s="281"/>
      <c r="AB3" s="281"/>
      <c r="AC3" s="281"/>
      <c r="AD3" s="281"/>
      <c r="AE3" s="281"/>
      <c r="AF3" s="281"/>
      <c r="AG3" s="281"/>
      <c r="AH3" s="281"/>
      <c r="AI3" s="281"/>
      <c r="AJ3" s="302">
        <v>1.1666666666666667</v>
      </c>
      <c r="AK3" s="427"/>
      <c r="AL3" s="281"/>
      <c r="AM3" s="281"/>
      <c r="AN3" s="281"/>
      <c r="AO3" s="281"/>
      <c r="AP3" s="281"/>
      <c r="AQ3" s="281"/>
      <c r="AR3" s="281"/>
      <c r="AS3" s="279"/>
      <c r="AT3" s="284"/>
      <c r="AU3" s="279"/>
      <c r="AV3" s="285"/>
      <c r="AW3" s="285"/>
      <c r="AX3" s="285"/>
      <c r="AY3" s="285"/>
      <c r="AZ3" s="285"/>
      <c r="BA3" s="285"/>
      <c r="BB3" s="285"/>
      <c r="BC3" s="285"/>
      <c r="BD3" s="304"/>
      <c r="BE3" s="286"/>
      <c r="BF3" s="546"/>
    </row>
    <row r="4" spans="1:63" s="44" customFormat="1" x14ac:dyDescent="0.3">
      <c r="A4" s="556" t="s">
        <v>432</v>
      </c>
      <c r="B4" s="309"/>
      <c r="C4" s="309"/>
      <c r="D4" s="309"/>
      <c r="E4" s="309"/>
      <c r="F4" s="546"/>
      <c r="G4" s="548">
        <v>20</v>
      </c>
      <c r="H4" s="547"/>
      <c r="I4" s="546"/>
      <c r="J4" s="288"/>
      <c r="K4" s="288"/>
      <c r="L4" s="546"/>
      <c r="M4" s="288"/>
      <c r="N4" s="288"/>
      <c r="O4" s="288"/>
      <c r="P4" s="288"/>
      <c r="Q4" s="288">
        <f>COLUMN()-2</f>
        <v>15</v>
      </c>
      <c r="R4" s="288">
        <f>COLUMN()-2</f>
        <v>16</v>
      </c>
      <c r="S4" s="288">
        <f>COLUMN()-2</f>
        <v>17</v>
      </c>
      <c r="T4" s="288">
        <f>COLUMN()-2</f>
        <v>18</v>
      </c>
      <c r="U4" s="288"/>
      <c r="V4" s="288"/>
      <c r="W4" s="288"/>
      <c r="X4" s="288"/>
      <c r="Y4" s="288"/>
      <c r="Z4" s="305"/>
      <c r="AA4" s="288"/>
      <c r="AB4" s="288"/>
      <c r="AC4" s="288"/>
      <c r="AD4" s="288"/>
      <c r="AE4" s="288"/>
      <c r="AF4" s="288"/>
      <c r="AG4" s="288"/>
      <c r="AH4" s="288"/>
      <c r="AI4" s="288"/>
      <c r="AJ4" s="301">
        <f>COLUMN()-2</f>
        <v>34</v>
      </c>
      <c r="AK4" s="427">
        <f>COLUMN()-2</f>
        <v>35</v>
      </c>
      <c r="AL4" s="288">
        <f>COLUMN()-2</f>
        <v>36</v>
      </c>
      <c r="AM4" s="281"/>
      <c r="AN4" s="281"/>
      <c r="AO4" s="281"/>
      <c r="AP4" s="281"/>
      <c r="AQ4" s="281"/>
      <c r="AR4" s="281"/>
      <c r="AS4" s="279"/>
      <c r="AT4" s="284"/>
      <c r="AU4" s="279"/>
      <c r="AV4" s="285"/>
      <c r="AW4" s="285"/>
      <c r="AX4" s="285"/>
      <c r="AY4" s="285"/>
      <c r="AZ4" s="285"/>
      <c r="BA4" s="285"/>
      <c r="BB4" s="285"/>
      <c r="BC4" s="285"/>
      <c r="BD4" s="304"/>
      <c r="BE4" s="286"/>
      <c r="BF4" s="288">
        <f>COLUMN()-2</f>
        <v>56</v>
      </c>
    </row>
    <row r="5" spans="1:63" s="44" customFormat="1" x14ac:dyDescent="0.3">
      <c r="A5" s="556" t="s">
        <v>433</v>
      </c>
      <c r="B5" s="309"/>
      <c r="C5" s="309"/>
      <c r="D5" s="309"/>
      <c r="E5" s="309"/>
      <c r="F5" s="546"/>
      <c r="G5" s="548">
        <v>21</v>
      </c>
      <c r="H5" s="547"/>
      <c r="I5" s="546"/>
      <c r="J5" s="546"/>
      <c r="K5" s="546"/>
      <c r="L5" s="546"/>
      <c r="M5" s="547"/>
      <c r="N5" s="547"/>
      <c r="O5" s="547"/>
      <c r="P5" s="281"/>
      <c r="Q5" s="281"/>
      <c r="R5" s="281"/>
      <c r="S5" s="281"/>
      <c r="T5" s="281"/>
      <c r="U5" s="281"/>
      <c r="V5" s="281"/>
      <c r="W5" s="281"/>
      <c r="X5" s="281"/>
      <c r="Y5" s="281"/>
      <c r="Z5" s="305"/>
      <c r="AA5" s="281"/>
      <c r="AB5" s="281"/>
      <c r="AC5" s="281"/>
      <c r="AD5" s="281"/>
      <c r="AE5" s="281"/>
      <c r="AF5" s="281"/>
      <c r="AG5" s="281"/>
      <c r="AH5" s="281"/>
      <c r="AI5" s="281"/>
      <c r="AJ5" s="301"/>
      <c r="AK5" s="427"/>
      <c r="AL5" s="281"/>
      <c r="AM5" s="281"/>
      <c r="AN5" s="281"/>
      <c r="AO5" s="281"/>
      <c r="AP5" s="281"/>
      <c r="AQ5" s="281"/>
      <c r="AR5" s="281"/>
      <c r="AS5" s="279"/>
      <c r="AT5" s="284"/>
      <c r="AU5" s="279"/>
      <c r="AV5" s="285"/>
      <c r="AW5" s="759" t="s">
        <v>517</v>
      </c>
      <c r="AX5" s="759"/>
      <c r="AY5" s="759"/>
      <c r="AZ5" s="759"/>
      <c r="BA5" s="759"/>
      <c r="BB5" s="759"/>
      <c r="BC5" s="285"/>
      <c r="BD5" s="304"/>
      <c r="BE5" s="286"/>
      <c r="BF5" s="546"/>
    </row>
    <row r="6" spans="1:63" s="44" customFormat="1" x14ac:dyDescent="0.3">
      <c r="A6" s="556" t="s">
        <v>434</v>
      </c>
      <c r="B6" s="309"/>
      <c r="C6" s="309"/>
      <c r="D6" s="309"/>
      <c r="E6" s="309"/>
      <c r="F6" s="547"/>
      <c r="G6" s="548">
        <v>21</v>
      </c>
      <c r="H6" s="547"/>
      <c r="I6" s="546"/>
      <c r="J6" s="310">
        <f t="shared" ref="J6:O6" si="0">COLUMN()-5</f>
        <v>5</v>
      </c>
      <c r="K6" s="310">
        <f t="shared" si="0"/>
        <v>6</v>
      </c>
      <c r="L6" s="546"/>
      <c r="M6" s="547">
        <f t="shared" si="0"/>
        <v>8</v>
      </c>
      <c r="N6" s="547">
        <f t="shared" si="0"/>
        <v>9</v>
      </c>
      <c r="O6" s="547">
        <f t="shared" si="0"/>
        <v>10</v>
      </c>
      <c r="P6" s="310">
        <f>COLUMN()-5</f>
        <v>11</v>
      </c>
      <c r="Q6" s="310">
        <f t="shared" ref="Q6:AL6" si="1">COLUMN()-5</f>
        <v>12</v>
      </c>
      <c r="R6" s="310">
        <f t="shared" si="1"/>
        <v>13</v>
      </c>
      <c r="S6" s="310">
        <f t="shared" si="1"/>
        <v>14</v>
      </c>
      <c r="T6" s="310">
        <f t="shared" si="1"/>
        <v>15</v>
      </c>
      <c r="U6" s="310">
        <f t="shared" si="1"/>
        <v>16</v>
      </c>
      <c r="V6" s="310">
        <f t="shared" si="1"/>
        <v>17</v>
      </c>
      <c r="W6" s="310">
        <f t="shared" si="1"/>
        <v>18</v>
      </c>
      <c r="X6" s="310">
        <f t="shared" si="1"/>
        <v>19</v>
      </c>
      <c r="Y6" s="310">
        <f t="shared" si="1"/>
        <v>20</v>
      </c>
      <c r="Z6" s="310">
        <f t="shared" si="1"/>
        <v>21</v>
      </c>
      <c r="AA6" s="310">
        <f t="shared" si="1"/>
        <v>22</v>
      </c>
      <c r="AB6" s="310">
        <f t="shared" si="1"/>
        <v>23</v>
      </c>
      <c r="AC6" s="310">
        <f t="shared" si="1"/>
        <v>24</v>
      </c>
      <c r="AD6" s="310">
        <f t="shared" si="1"/>
        <v>25</v>
      </c>
      <c r="AE6" s="310">
        <f t="shared" si="1"/>
        <v>26</v>
      </c>
      <c r="AF6" s="310">
        <f t="shared" si="1"/>
        <v>27</v>
      </c>
      <c r="AG6" s="310">
        <f t="shared" si="1"/>
        <v>28</v>
      </c>
      <c r="AH6" s="310">
        <f t="shared" si="1"/>
        <v>29</v>
      </c>
      <c r="AI6" s="310">
        <f t="shared" si="1"/>
        <v>30</v>
      </c>
      <c r="AJ6" s="310">
        <f t="shared" si="1"/>
        <v>31</v>
      </c>
      <c r="AK6" s="309">
        <f t="shared" si="1"/>
        <v>32</v>
      </c>
      <c r="AL6" s="310">
        <f t="shared" si="1"/>
        <v>33</v>
      </c>
      <c r="AM6" s="281"/>
      <c r="AN6" s="281"/>
      <c r="AO6" s="281"/>
      <c r="AP6" s="281"/>
      <c r="AQ6" s="281"/>
      <c r="AR6" s="281"/>
      <c r="AS6" s="279"/>
      <c r="AT6" s="284"/>
      <c r="AU6" s="279"/>
      <c r="AV6" s="285"/>
      <c r="AW6" s="298">
        <f>+AW56</f>
        <v>106789</v>
      </c>
      <c r="AX6" s="298">
        <f>+AX56</f>
        <v>44461</v>
      </c>
      <c r="AY6" s="298"/>
      <c r="AZ6" s="298"/>
      <c r="BA6" s="298"/>
      <c r="BB6" s="298"/>
      <c r="BC6" s="311">
        <f>SUM(AW6:BB6)</f>
        <v>151250</v>
      </c>
      <c r="BD6" s="304"/>
      <c r="BE6" s="286"/>
      <c r="BF6" s="546"/>
    </row>
    <row r="7" spans="1:63" s="552" customFormat="1" ht="52.8" x14ac:dyDescent="0.3">
      <c r="A7" s="709"/>
      <c r="B7" s="571" t="s">
        <v>1</v>
      </c>
      <c r="C7" s="572" t="s">
        <v>422</v>
      </c>
      <c r="D7" s="572" t="s">
        <v>423</v>
      </c>
      <c r="E7" s="572" t="s">
        <v>424</v>
      </c>
      <c r="F7" s="572" t="s">
        <v>2</v>
      </c>
      <c r="G7" s="572" t="s">
        <v>83</v>
      </c>
      <c r="H7" s="572" t="s">
        <v>68</v>
      </c>
      <c r="I7" s="572" t="s">
        <v>3</v>
      </c>
      <c r="J7" s="573" t="s">
        <v>4</v>
      </c>
      <c r="K7" s="573" t="s">
        <v>5</v>
      </c>
      <c r="L7" s="573" t="s">
        <v>439</v>
      </c>
      <c r="M7" s="573" t="s">
        <v>66</v>
      </c>
      <c r="N7" s="573" t="s">
        <v>58</v>
      </c>
      <c r="O7" s="572" t="s">
        <v>6</v>
      </c>
      <c r="P7" s="574" t="s">
        <v>7</v>
      </c>
      <c r="Q7" s="574" t="s">
        <v>8</v>
      </c>
      <c r="R7" s="574" t="s">
        <v>9</v>
      </c>
      <c r="S7" s="574" t="s">
        <v>10</v>
      </c>
      <c r="T7" s="574" t="s">
        <v>11</v>
      </c>
      <c r="U7" s="574" t="s">
        <v>537</v>
      </c>
      <c r="V7" s="574" t="s">
        <v>204</v>
      </c>
      <c r="W7" s="574" t="s">
        <v>14</v>
      </c>
      <c r="X7" s="574" t="s">
        <v>15</v>
      </c>
      <c r="Y7" s="574" t="s">
        <v>67</v>
      </c>
      <c r="Z7" s="575" t="s">
        <v>16</v>
      </c>
      <c r="AA7" s="574" t="s">
        <v>70</v>
      </c>
      <c r="AB7" s="574" t="s">
        <v>17</v>
      </c>
      <c r="AC7" s="574" t="s">
        <v>18</v>
      </c>
      <c r="AD7" s="574" t="s">
        <v>19</v>
      </c>
      <c r="AE7" s="574" t="s">
        <v>20</v>
      </c>
      <c r="AF7" s="574" t="s">
        <v>73</v>
      </c>
      <c r="AG7" s="574" t="s">
        <v>21</v>
      </c>
      <c r="AH7" s="574" t="s">
        <v>22</v>
      </c>
      <c r="AI7" s="574" t="s">
        <v>23</v>
      </c>
      <c r="AJ7" s="573" t="s">
        <v>24</v>
      </c>
      <c r="AK7" s="573" t="s">
        <v>25</v>
      </c>
      <c r="AL7" s="574" t="s">
        <v>109</v>
      </c>
      <c r="AM7" s="574" t="s">
        <v>111</v>
      </c>
      <c r="AN7" s="574" t="s">
        <v>112</v>
      </c>
      <c r="AO7" s="574" t="s">
        <v>113</v>
      </c>
      <c r="AP7" s="574" t="s">
        <v>92</v>
      </c>
      <c r="AQ7" s="574" t="s">
        <v>93</v>
      </c>
      <c r="AR7" s="574" t="s">
        <v>26</v>
      </c>
      <c r="AS7" s="574" t="s">
        <v>196</v>
      </c>
      <c r="AT7" s="574" t="s">
        <v>27</v>
      </c>
      <c r="AU7" s="574" t="s">
        <v>94</v>
      </c>
      <c r="AV7" s="574" t="s">
        <v>414</v>
      </c>
      <c r="AW7" s="574" t="s">
        <v>570</v>
      </c>
      <c r="AX7" s="574" t="s">
        <v>571</v>
      </c>
      <c r="AY7" s="574" t="s">
        <v>572</v>
      </c>
      <c r="AZ7" s="574" t="s">
        <v>573</v>
      </c>
      <c r="BA7" s="574" t="s">
        <v>574</v>
      </c>
      <c r="BB7" s="574" t="s">
        <v>568</v>
      </c>
      <c r="BC7" s="574" t="s">
        <v>516</v>
      </c>
      <c r="BD7" s="574" t="s">
        <v>535</v>
      </c>
      <c r="BE7" s="574" t="s">
        <v>536</v>
      </c>
      <c r="BF7" s="574" t="s">
        <v>284</v>
      </c>
      <c r="BG7" s="576" t="s">
        <v>405</v>
      </c>
    </row>
    <row r="8" spans="1:63" s="44" customFormat="1" x14ac:dyDescent="0.3">
      <c r="A8" s="689"/>
      <c r="B8" s="570">
        <v>49</v>
      </c>
      <c r="C8" s="290"/>
      <c r="D8" s="289"/>
      <c r="E8" s="294"/>
      <c r="F8" s="289">
        <v>701</v>
      </c>
      <c r="G8" s="461">
        <v>43684</v>
      </c>
      <c r="H8" s="289" t="s">
        <v>69</v>
      </c>
      <c r="I8" s="45" t="s">
        <v>543</v>
      </c>
      <c r="J8" s="45" t="s">
        <v>32</v>
      </c>
      <c r="K8" s="45" t="s">
        <v>28</v>
      </c>
      <c r="L8" s="609" t="s">
        <v>442</v>
      </c>
      <c r="M8" s="606" t="s">
        <v>57</v>
      </c>
      <c r="N8" s="606" t="s">
        <v>169</v>
      </c>
      <c r="O8" s="289" t="s">
        <v>30</v>
      </c>
      <c r="P8" s="291">
        <f>85000*0</f>
        <v>0</v>
      </c>
      <c r="Q8" s="291">
        <f t="shared" ref="Q8:Q52" si="2">P8/160%</f>
        <v>0</v>
      </c>
      <c r="R8" s="291">
        <f t="shared" ref="R8:R52" si="3">40/100*Q8</f>
        <v>0</v>
      </c>
      <c r="S8" s="291">
        <f t="shared" ref="S8:S52" si="4">10/100*Q8</f>
        <v>0</v>
      </c>
      <c r="T8" s="291">
        <f t="shared" ref="T8:T50" si="5">10/100*Q8</f>
        <v>0</v>
      </c>
      <c r="U8" s="291">
        <f t="shared" ref="U8:U52" si="6">Q8+R8+S8+T8</f>
        <v>0</v>
      </c>
      <c r="V8" s="291"/>
      <c r="W8" s="291"/>
      <c r="X8" s="291">
        <f>P8/$G$6*W8</f>
        <v>0</v>
      </c>
      <c r="Y8" s="291">
        <v>0</v>
      </c>
      <c r="Z8" s="296">
        <f>P8/$G$6*Y8</f>
        <v>0</v>
      </c>
      <c r="AA8" s="291">
        <f>P8/$G$6/9</f>
        <v>0</v>
      </c>
      <c r="AB8" s="292"/>
      <c r="AC8" s="291">
        <f t="shared" ref="AC8:AC52" si="7">AA8*AB8</f>
        <v>0</v>
      </c>
      <c r="AD8" s="291">
        <f t="shared" ref="AD8:AD52" si="8">U8+V8+X8-Z8-AC8</f>
        <v>0</v>
      </c>
      <c r="AE8" s="291">
        <v>0</v>
      </c>
      <c r="AF8" s="291">
        <v>0</v>
      </c>
      <c r="AG8" s="291">
        <v>0</v>
      </c>
      <c r="AH8" s="291">
        <v>0</v>
      </c>
      <c r="AI8" s="291">
        <f t="shared" ref="AI8:AI52" si="9">AD8-AE8-AG8-AH8-AF8</f>
        <v>0</v>
      </c>
      <c r="AJ8" s="45" t="s">
        <v>101</v>
      </c>
      <c r="AK8" s="539" t="s">
        <v>545</v>
      </c>
      <c r="AL8" s="294" t="s">
        <v>546</v>
      </c>
      <c r="AM8" s="45" t="s">
        <v>547</v>
      </c>
      <c r="AN8" s="293">
        <f>AI8</f>
        <v>0</v>
      </c>
      <c r="AO8" s="293"/>
      <c r="AP8" s="293"/>
      <c r="AQ8" s="293"/>
      <c r="AR8" s="293"/>
      <c r="AS8" s="293">
        <f t="shared" ref="AS8:AS52" si="10">SUM(AN8:AR8)</f>
        <v>0</v>
      </c>
      <c r="AT8" s="295"/>
      <c r="AU8" s="293">
        <f t="shared" ref="AU8:AU52" si="11">+AS8+AT8</f>
        <v>0</v>
      </c>
      <c r="AV8" s="598">
        <f t="shared" ref="AV8:AV52" si="12">+AI8-AU8</f>
        <v>0</v>
      </c>
      <c r="AW8" s="598"/>
      <c r="AX8" s="598"/>
      <c r="AY8" s="598"/>
      <c r="AZ8" s="598">
        <v>0</v>
      </c>
      <c r="BA8" s="598">
        <v>0</v>
      </c>
      <c r="BB8" s="598"/>
      <c r="BC8" s="598"/>
      <c r="BD8" s="598">
        <f t="shared" ref="BD8:BD52" si="13">SUM(AW8:BC8)</f>
        <v>0</v>
      </c>
      <c r="BE8" s="599">
        <f t="shared" ref="BE8:BE52" si="14">BD8-AU8</f>
        <v>0</v>
      </c>
      <c r="BF8" s="600" t="s">
        <v>286</v>
      </c>
      <c r="BG8" s="601">
        <f>AF8/1*5</f>
        <v>0</v>
      </c>
      <c r="BK8" s="690"/>
    </row>
    <row r="9" spans="1:63" s="44" customFormat="1" x14ac:dyDescent="0.3">
      <c r="A9" s="689"/>
      <c r="B9" s="691">
        <v>15</v>
      </c>
      <c r="C9" s="692"/>
      <c r="D9" s="693"/>
      <c r="E9" s="694"/>
      <c r="F9" s="693">
        <v>191</v>
      </c>
      <c r="G9" s="695">
        <v>43788</v>
      </c>
      <c r="H9" s="693" t="s">
        <v>268</v>
      </c>
      <c r="I9" s="696" t="s">
        <v>471</v>
      </c>
      <c r="J9" s="696" t="s">
        <v>40</v>
      </c>
      <c r="K9" s="696" t="s">
        <v>60</v>
      </c>
      <c r="L9" s="697" t="s">
        <v>141</v>
      </c>
      <c r="M9" s="698" t="s">
        <v>57</v>
      </c>
      <c r="N9" s="698" t="s">
        <v>59</v>
      </c>
      <c r="O9" s="693" t="s">
        <v>30</v>
      </c>
      <c r="P9" s="699">
        <v>15000</v>
      </c>
      <c r="Q9" s="699">
        <f t="shared" si="2"/>
        <v>9375</v>
      </c>
      <c r="R9" s="699">
        <f t="shared" si="3"/>
        <v>3750</v>
      </c>
      <c r="S9" s="699">
        <f t="shared" si="4"/>
        <v>937.5</v>
      </c>
      <c r="T9" s="699">
        <f t="shared" si="5"/>
        <v>937.5</v>
      </c>
      <c r="U9" s="699">
        <f t="shared" si="6"/>
        <v>15000</v>
      </c>
      <c r="V9" s="699"/>
      <c r="W9" s="699"/>
      <c r="X9" s="699">
        <f>P9/$G$3*W9</f>
        <v>0</v>
      </c>
      <c r="Y9" s="699">
        <v>14</v>
      </c>
      <c r="Z9" s="700">
        <f>P9/$G$3*Y9</f>
        <v>11052.631578947368</v>
      </c>
      <c r="AA9" s="699">
        <f>P9/$G$3/9</f>
        <v>87.719298245614041</v>
      </c>
      <c r="AB9" s="701"/>
      <c r="AC9" s="699">
        <f t="shared" si="7"/>
        <v>0</v>
      </c>
      <c r="AD9" s="732">
        <f t="shared" si="8"/>
        <v>3947.3684210526317</v>
      </c>
      <c r="AE9" s="699">
        <v>0</v>
      </c>
      <c r="AF9" s="699">
        <v>0</v>
      </c>
      <c r="AG9" s="699">
        <v>0</v>
      </c>
      <c r="AH9" s="699">
        <v>0</v>
      </c>
      <c r="AI9" s="733">
        <f t="shared" si="9"/>
        <v>3947.3684210526317</v>
      </c>
      <c r="AJ9" s="696"/>
      <c r="AK9" s="696"/>
      <c r="AL9" s="694"/>
      <c r="AM9" s="696" t="s">
        <v>428</v>
      </c>
      <c r="AN9" s="702"/>
      <c r="AO9" s="702"/>
      <c r="AP9" s="702"/>
      <c r="AQ9" s="702"/>
      <c r="AR9" s="702">
        <f>Master[[#This Row],[Net Pay]]</f>
        <v>3947.3684210526317</v>
      </c>
      <c r="AS9" s="702">
        <f t="shared" si="10"/>
        <v>3947.3684210526317</v>
      </c>
      <c r="AT9" s="703"/>
      <c r="AU9" s="702">
        <f t="shared" si="11"/>
        <v>3947.3684210526317</v>
      </c>
      <c r="AV9" s="704" t="s">
        <v>575</v>
      </c>
      <c r="AW9" s="704"/>
      <c r="AX9" s="704"/>
      <c r="AY9" s="704">
        <v>3947</v>
      </c>
      <c r="AZ9" s="704">
        <v>0</v>
      </c>
      <c r="BA9" s="704">
        <v>0</v>
      </c>
      <c r="BB9" s="704"/>
      <c r="BC9" s="704"/>
      <c r="BD9" s="704">
        <f t="shared" si="13"/>
        <v>3947</v>
      </c>
      <c r="BE9" s="705">
        <f t="shared" si="14"/>
        <v>-0.36842105263167468</v>
      </c>
      <c r="BF9" s="706" t="s">
        <v>285</v>
      </c>
      <c r="BG9" s="707">
        <f>AF9/1*5</f>
        <v>0</v>
      </c>
      <c r="BK9" s="690"/>
    </row>
    <row r="10" spans="1:63" s="44" customFormat="1" x14ac:dyDescent="0.3">
      <c r="A10" s="689"/>
      <c r="B10" s="713"/>
      <c r="C10" s="714"/>
      <c r="D10" s="715"/>
      <c r="E10" s="716"/>
      <c r="F10" s="715">
        <v>230</v>
      </c>
      <c r="G10" s="717">
        <v>43945</v>
      </c>
      <c r="H10" s="715"/>
      <c r="I10" s="718" t="s">
        <v>558</v>
      </c>
      <c r="J10" s="718" t="s">
        <v>32</v>
      </c>
      <c r="K10" s="718" t="s">
        <v>28</v>
      </c>
      <c r="L10" s="719"/>
      <c r="M10" s="720" t="s">
        <v>57</v>
      </c>
      <c r="N10" s="720" t="s">
        <v>29</v>
      </c>
      <c r="O10" s="715" t="s">
        <v>30</v>
      </c>
      <c r="P10" s="721">
        <v>35000</v>
      </c>
      <c r="Q10" s="721">
        <f t="shared" si="2"/>
        <v>21875</v>
      </c>
      <c r="R10" s="721">
        <f t="shared" si="3"/>
        <v>8750</v>
      </c>
      <c r="S10" s="721">
        <f t="shared" si="4"/>
        <v>2187.5</v>
      </c>
      <c r="T10" s="721">
        <f t="shared" si="5"/>
        <v>2187.5</v>
      </c>
      <c r="U10" s="721">
        <f t="shared" si="6"/>
        <v>35000</v>
      </c>
      <c r="V10" s="721"/>
      <c r="W10" s="721"/>
      <c r="X10" s="721">
        <f>P10/$G$4*W10</f>
        <v>0</v>
      </c>
      <c r="Y10" s="721">
        <v>17</v>
      </c>
      <c r="Z10" s="722">
        <f>P10/$G$4*Y10</f>
        <v>29750</v>
      </c>
      <c r="AA10" s="721">
        <f>P10/$G$4/9</f>
        <v>194.44444444444446</v>
      </c>
      <c r="AB10" s="723"/>
      <c r="AC10" s="721">
        <f t="shared" si="7"/>
        <v>0</v>
      </c>
      <c r="AD10" s="732">
        <f t="shared" si="8"/>
        <v>5250</v>
      </c>
      <c r="AE10" s="721">
        <v>0</v>
      </c>
      <c r="AF10" s="721"/>
      <c r="AG10" s="721">
        <v>0</v>
      </c>
      <c r="AH10" s="721">
        <v>0</v>
      </c>
      <c r="AI10" s="737">
        <f t="shared" si="9"/>
        <v>5250</v>
      </c>
      <c r="AJ10" s="718" t="s">
        <v>145</v>
      </c>
      <c r="AK10" s="724" t="s">
        <v>562</v>
      </c>
      <c r="AL10" s="716" t="s">
        <v>581</v>
      </c>
      <c r="AM10" s="718" t="s">
        <v>558</v>
      </c>
      <c r="AN10" s="725"/>
      <c r="AO10" s="725"/>
      <c r="AP10" s="725"/>
      <c r="AQ10" s="725">
        <f>Master[[#This Row],[Net Pay]]</f>
        <v>5250</v>
      </c>
      <c r="AR10" s="725"/>
      <c r="AS10" s="725">
        <f t="shared" si="10"/>
        <v>5250</v>
      </c>
      <c r="AT10" s="726"/>
      <c r="AU10" s="725">
        <f t="shared" si="11"/>
        <v>5250</v>
      </c>
      <c r="AV10" s="727" t="s">
        <v>575</v>
      </c>
      <c r="AW10" s="727"/>
      <c r="AX10" s="727">
        <v>5250</v>
      </c>
      <c r="AY10" s="727"/>
      <c r="AZ10" s="727">
        <v>0</v>
      </c>
      <c r="BA10" s="727"/>
      <c r="BB10" s="727"/>
      <c r="BC10" s="727"/>
      <c r="BD10" s="727">
        <f t="shared" si="13"/>
        <v>5250</v>
      </c>
      <c r="BE10" s="728">
        <f t="shared" si="14"/>
        <v>0</v>
      </c>
      <c r="BF10" s="729" t="s">
        <v>287</v>
      </c>
      <c r="BG10" s="730">
        <f>AF10/1*5</f>
        <v>0</v>
      </c>
      <c r="BK10" s="690"/>
    </row>
    <row r="11" spans="1:63" s="44" customFormat="1" x14ac:dyDescent="0.3">
      <c r="A11" s="689"/>
      <c r="B11" s="713"/>
      <c r="C11" s="714"/>
      <c r="D11" s="715"/>
      <c r="E11" s="716"/>
      <c r="F11" s="715">
        <v>229</v>
      </c>
      <c r="G11" s="717">
        <v>43942</v>
      </c>
      <c r="H11" s="715"/>
      <c r="I11" s="718" t="s">
        <v>557</v>
      </c>
      <c r="J11" s="718" t="s">
        <v>32</v>
      </c>
      <c r="K11" s="718" t="s">
        <v>28</v>
      </c>
      <c r="L11" s="719"/>
      <c r="M11" s="720" t="s">
        <v>57</v>
      </c>
      <c r="N11" s="720" t="s">
        <v>29</v>
      </c>
      <c r="O11" s="715" t="s">
        <v>30</v>
      </c>
      <c r="P11" s="721">
        <v>30000</v>
      </c>
      <c r="Q11" s="721">
        <f t="shared" si="2"/>
        <v>18750</v>
      </c>
      <c r="R11" s="721">
        <f t="shared" si="3"/>
        <v>7500</v>
      </c>
      <c r="S11" s="721">
        <f t="shared" si="4"/>
        <v>1875</v>
      </c>
      <c r="T11" s="721">
        <f t="shared" si="5"/>
        <v>1875</v>
      </c>
      <c r="U11" s="721">
        <f t="shared" si="6"/>
        <v>30000</v>
      </c>
      <c r="V11" s="721"/>
      <c r="W11" s="721"/>
      <c r="X11" s="721">
        <f>P11/$G$4*W11</f>
        <v>0</v>
      </c>
      <c r="Y11" s="721">
        <v>13</v>
      </c>
      <c r="Z11" s="722">
        <f>P11/$G$4*Y11</f>
        <v>19500</v>
      </c>
      <c r="AA11" s="721">
        <f>P11/$G$4/9</f>
        <v>166.66666666666666</v>
      </c>
      <c r="AB11" s="723"/>
      <c r="AC11" s="721">
        <f t="shared" si="7"/>
        <v>0</v>
      </c>
      <c r="AD11" s="732">
        <f t="shared" si="8"/>
        <v>10500</v>
      </c>
      <c r="AE11" s="721">
        <v>0</v>
      </c>
      <c r="AF11" s="721"/>
      <c r="AG11" s="721">
        <v>0</v>
      </c>
      <c r="AH11" s="721">
        <v>0</v>
      </c>
      <c r="AI11" s="734">
        <f t="shared" si="9"/>
        <v>10500</v>
      </c>
      <c r="AJ11" s="718" t="s">
        <v>101</v>
      </c>
      <c r="AK11" s="724" t="s">
        <v>559</v>
      </c>
      <c r="AL11" s="716" t="s">
        <v>582</v>
      </c>
      <c r="AM11" s="718" t="s">
        <v>560</v>
      </c>
      <c r="AN11" s="725"/>
      <c r="AO11" s="725"/>
      <c r="AP11" s="725"/>
      <c r="AQ11" s="725"/>
      <c r="AR11" s="725">
        <f>AI11</f>
        <v>10500</v>
      </c>
      <c r="AS11" s="725">
        <f t="shared" si="10"/>
        <v>10500</v>
      </c>
      <c r="AT11" s="726"/>
      <c r="AU11" s="725">
        <f t="shared" si="11"/>
        <v>10500</v>
      </c>
      <c r="AV11" s="727" t="s">
        <v>575</v>
      </c>
      <c r="AW11" s="727"/>
      <c r="AX11" s="727"/>
      <c r="AY11" s="727">
        <v>10500</v>
      </c>
      <c r="AZ11" s="727">
        <v>0</v>
      </c>
      <c r="BA11" s="727">
        <v>0</v>
      </c>
      <c r="BB11" s="727"/>
      <c r="BC11" s="727"/>
      <c r="BD11" s="727">
        <f t="shared" si="13"/>
        <v>10500</v>
      </c>
      <c r="BE11" s="728">
        <f t="shared" si="14"/>
        <v>0</v>
      </c>
      <c r="BF11" s="729" t="s">
        <v>287</v>
      </c>
      <c r="BG11" s="730">
        <f>AF11/1*5</f>
        <v>0</v>
      </c>
      <c r="BK11" s="690"/>
    </row>
    <row r="12" spans="1:63" s="44" customFormat="1" ht="26.4" x14ac:dyDescent="0.3">
      <c r="A12" s="689"/>
      <c r="B12" s="691"/>
      <c r="C12" s="692"/>
      <c r="D12" s="693"/>
      <c r="E12" s="694"/>
      <c r="F12" s="693">
        <v>228</v>
      </c>
      <c r="G12" s="695"/>
      <c r="H12" s="693"/>
      <c r="I12" s="696" t="s">
        <v>563</v>
      </c>
      <c r="J12" s="696" t="s">
        <v>578</v>
      </c>
      <c r="K12" s="696" t="s">
        <v>527</v>
      </c>
      <c r="L12" s="697" t="s">
        <v>430</v>
      </c>
      <c r="M12" s="698" t="s">
        <v>57</v>
      </c>
      <c r="N12" s="698" t="s">
        <v>59</v>
      </c>
      <c r="O12" s="693" t="s">
        <v>30</v>
      </c>
      <c r="P12" s="699">
        <v>35000</v>
      </c>
      <c r="Q12" s="699">
        <f t="shared" si="2"/>
        <v>21875</v>
      </c>
      <c r="R12" s="699">
        <f t="shared" si="3"/>
        <v>8750</v>
      </c>
      <c r="S12" s="699">
        <f t="shared" si="4"/>
        <v>2187.5</v>
      </c>
      <c r="T12" s="699">
        <f t="shared" si="5"/>
        <v>2187.5</v>
      </c>
      <c r="U12" s="699">
        <f t="shared" si="6"/>
        <v>35000</v>
      </c>
      <c r="V12" s="699"/>
      <c r="W12" s="699"/>
      <c r="X12" s="699">
        <f t="shared" ref="X12:X24" si="15">P12/$G$3*W12</f>
        <v>0</v>
      </c>
      <c r="Y12" s="699">
        <v>14</v>
      </c>
      <c r="Z12" s="700">
        <f t="shared" ref="Z12:Z24" si="16">P12/$G$3*Y12</f>
        <v>25789.473684210527</v>
      </c>
      <c r="AA12" s="699">
        <f t="shared" ref="AA12:AA24" si="17">P12/$G$3/9</f>
        <v>204.67836257309943</v>
      </c>
      <c r="AB12" s="701"/>
      <c r="AC12" s="699">
        <f t="shared" si="7"/>
        <v>0</v>
      </c>
      <c r="AD12" s="731">
        <f t="shared" si="8"/>
        <v>9210.5263157894733</v>
      </c>
      <c r="AE12" s="699">
        <v>0</v>
      </c>
      <c r="AF12" s="699"/>
      <c r="AG12" s="699"/>
      <c r="AH12" s="699">
        <v>0</v>
      </c>
      <c r="AI12" s="699">
        <f t="shared" si="9"/>
        <v>9210.5263157894733</v>
      </c>
      <c r="AJ12" s="696" t="s">
        <v>567</v>
      </c>
      <c r="AK12" s="711" t="s">
        <v>566</v>
      </c>
      <c r="AL12" s="694"/>
      <c r="AM12" s="696" t="s">
        <v>563</v>
      </c>
      <c r="AN12" s="702"/>
      <c r="AO12" s="702"/>
      <c r="AP12" s="702"/>
      <c r="AQ12" s="702"/>
      <c r="AR12" s="702"/>
      <c r="AS12" s="702">
        <f t="shared" si="10"/>
        <v>0</v>
      </c>
      <c r="AT12" s="703">
        <f>Master[[#This Row],[Net Pay]]</f>
        <v>9210.5263157894733</v>
      </c>
      <c r="AU12" s="702">
        <f t="shared" si="11"/>
        <v>9210.5263157894733</v>
      </c>
      <c r="AV12" s="704">
        <f t="shared" si="12"/>
        <v>0</v>
      </c>
      <c r="AW12" s="704"/>
      <c r="AX12" s="704"/>
      <c r="AY12" s="704"/>
      <c r="AZ12" s="704">
        <v>0</v>
      </c>
      <c r="BA12" s="704">
        <v>0</v>
      </c>
      <c r="BB12" s="704"/>
      <c r="BC12" s="704">
        <v>9211</v>
      </c>
      <c r="BD12" s="704">
        <f t="shared" si="13"/>
        <v>9211</v>
      </c>
      <c r="BE12" s="705">
        <f t="shared" si="14"/>
        <v>0.47368421052669873</v>
      </c>
      <c r="BF12" s="706" t="s">
        <v>285</v>
      </c>
      <c r="BG12" s="707">
        <f>AF12/1*5</f>
        <v>0</v>
      </c>
      <c r="BK12" s="690"/>
    </row>
    <row r="13" spans="1:63" s="44" customFormat="1" x14ac:dyDescent="0.3">
      <c r="A13" s="689"/>
      <c r="B13" s="570">
        <v>16</v>
      </c>
      <c r="C13" s="290"/>
      <c r="D13" s="289"/>
      <c r="E13" s="294"/>
      <c r="F13" s="289">
        <v>224</v>
      </c>
      <c r="G13" s="461">
        <v>43861</v>
      </c>
      <c r="H13" s="289"/>
      <c r="I13" s="45" t="s">
        <v>526</v>
      </c>
      <c r="J13" s="45" t="s">
        <v>40</v>
      </c>
      <c r="K13" s="45" t="s">
        <v>60</v>
      </c>
      <c r="L13" s="609" t="s">
        <v>141</v>
      </c>
      <c r="M13" s="606" t="s">
        <v>57</v>
      </c>
      <c r="N13" s="606" t="s">
        <v>59</v>
      </c>
      <c r="O13" s="289" t="s">
        <v>30</v>
      </c>
      <c r="P13" s="291">
        <v>15000</v>
      </c>
      <c r="Q13" s="291">
        <f t="shared" si="2"/>
        <v>9375</v>
      </c>
      <c r="R13" s="291">
        <f t="shared" si="3"/>
        <v>3750</v>
      </c>
      <c r="S13" s="291">
        <f t="shared" si="4"/>
        <v>937.5</v>
      </c>
      <c r="T13" s="291">
        <f t="shared" si="5"/>
        <v>937.5</v>
      </c>
      <c r="U13" s="291">
        <f t="shared" si="6"/>
        <v>15000</v>
      </c>
      <c r="V13" s="291"/>
      <c r="W13" s="291"/>
      <c r="X13" s="291">
        <f t="shared" si="15"/>
        <v>0</v>
      </c>
      <c r="Y13" s="699"/>
      <c r="Z13" s="296">
        <f t="shared" si="16"/>
        <v>0</v>
      </c>
      <c r="AA13" s="291">
        <f t="shared" si="17"/>
        <v>87.719298245614041</v>
      </c>
      <c r="AB13" s="292"/>
      <c r="AC13" s="291">
        <f t="shared" si="7"/>
        <v>0</v>
      </c>
      <c r="AD13" s="732">
        <f t="shared" si="8"/>
        <v>15000</v>
      </c>
      <c r="AE13" s="291">
        <v>0</v>
      </c>
      <c r="AF13" s="291"/>
      <c r="AG13" s="291">
        <v>0</v>
      </c>
      <c r="AH13" s="291">
        <v>0</v>
      </c>
      <c r="AI13" s="736">
        <f t="shared" si="9"/>
        <v>15000</v>
      </c>
      <c r="AJ13" s="45" t="s">
        <v>549</v>
      </c>
      <c r="AK13" s="45" t="s">
        <v>550</v>
      </c>
      <c r="AL13" s="294" t="s">
        <v>583</v>
      </c>
      <c r="AM13" s="45" t="s">
        <v>548</v>
      </c>
      <c r="AN13" s="293"/>
      <c r="AO13" s="293"/>
      <c r="AP13" s="293"/>
      <c r="AQ13" s="293">
        <f>AI13</f>
        <v>15000</v>
      </c>
      <c r="AR13" s="293"/>
      <c r="AS13" s="293">
        <f t="shared" si="10"/>
        <v>15000</v>
      </c>
      <c r="AT13" s="295"/>
      <c r="AU13" s="293">
        <f t="shared" si="11"/>
        <v>15000</v>
      </c>
      <c r="AV13" s="598" t="s">
        <v>575</v>
      </c>
      <c r="AW13" s="598"/>
      <c r="AX13" s="598">
        <v>14211</v>
      </c>
      <c r="AY13" s="598"/>
      <c r="AZ13" s="598">
        <v>0</v>
      </c>
      <c r="BA13" s="598">
        <v>789</v>
      </c>
      <c r="BB13" s="598"/>
      <c r="BC13" s="598"/>
      <c r="BD13" s="598">
        <f t="shared" si="13"/>
        <v>15000</v>
      </c>
      <c r="BE13" s="599">
        <f t="shared" si="14"/>
        <v>0</v>
      </c>
      <c r="BF13" s="600" t="s">
        <v>285</v>
      </c>
      <c r="BG13" s="601"/>
      <c r="BK13" s="690"/>
    </row>
    <row r="14" spans="1:63" s="44" customFormat="1" x14ac:dyDescent="0.3">
      <c r="A14" s="689"/>
      <c r="B14" s="570">
        <v>7</v>
      </c>
      <c r="C14" s="290"/>
      <c r="D14" s="289"/>
      <c r="E14" s="294"/>
      <c r="F14" s="289">
        <v>999</v>
      </c>
      <c r="G14" s="461">
        <v>43496</v>
      </c>
      <c r="H14" s="289" t="s">
        <v>69</v>
      </c>
      <c r="I14" s="45" t="s">
        <v>328</v>
      </c>
      <c r="J14" s="45" t="s">
        <v>48</v>
      </c>
      <c r="K14" s="45" t="s">
        <v>412</v>
      </c>
      <c r="L14" s="609" t="s">
        <v>110</v>
      </c>
      <c r="M14" s="606" t="s">
        <v>59</v>
      </c>
      <c r="N14" s="606" t="s">
        <v>59</v>
      </c>
      <c r="O14" s="289" t="s">
        <v>30</v>
      </c>
      <c r="P14" s="291">
        <v>15000</v>
      </c>
      <c r="Q14" s="291">
        <f t="shared" si="2"/>
        <v>9375</v>
      </c>
      <c r="R14" s="291">
        <f t="shared" si="3"/>
        <v>3750</v>
      </c>
      <c r="S14" s="291">
        <f t="shared" si="4"/>
        <v>937.5</v>
      </c>
      <c r="T14" s="291">
        <f t="shared" si="5"/>
        <v>937.5</v>
      </c>
      <c r="U14" s="291">
        <f t="shared" si="6"/>
        <v>15000</v>
      </c>
      <c r="V14" s="291"/>
      <c r="W14" s="291"/>
      <c r="X14" s="291">
        <f t="shared" si="15"/>
        <v>0</v>
      </c>
      <c r="Y14" s="291">
        <v>0</v>
      </c>
      <c r="Z14" s="296">
        <f t="shared" si="16"/>
        <v>0</v>
      </c>
      <c r="AA14" s="291">
        <f t="shared" si="17"/>
        <v>87.719298245614041</v>
      </c>
      <c r="AB14" s="292"/>
      <c r="AC14" s="291">
        <f t="shared" si="7"/>
        <v>0</v>
      </c>
      <c r="AD14" s="291">
        <f t="shared" si="8"/>
        <v>15000</v>
      </c>
      <c r="AE14" s="291">
        <v>0</v>
      </c>
      <c r="AF14" s="291">
        <v>0</v>
      </c>
      <c r="AG14" s="291">
        <v>0</v>
      </c>
      <c r="AH14" s="291">
        <v>0</v>
      </c>
      <c r="AI14" s="291">
        <f t="shared" si="9"/>
        <v>15000</v>
      </c>
      <c r="AJ14" s="45" t="s">
        <v>282</v>
      </c>
      <c r="AK14" s="45" t="s">
        <v>425</v>
      </c>
      <c r="AL14" s="294"/>
      <c r="AM14" s="45" t="s">
        <v>328</v>
      </c>
      <c r="AN14" s="293"/>
      <c r="AO14" s="293"/>
      <c r="AP14" s="293"/>
      <c r="AQ14" s="293">
        <f>+AI14</f>
        <v>15000</v>
      </c>
      <c r="AR14" s="293"/>
      <c r="AS14" s="293">
        <f t="shared" si="10"/>
        <v>15000</v>
      </c>
      <c r="AT14" s="295"/>
      <c r="AU14" s="293">
        <f t="shared" si="11"/>
        <v>15000</v>
      </c>
      <c r="AV14" s="598"/>
      <c r="AW14" s="598"/>
      <c r="AX14" s="598"/>
      <c r="AY14" s="598"/>
      <c r="AZ14" s="598">
        <v>0</v>
      </c>
      <c r="BA14" s="598">
        <v>15000</v>
      </c>
      <c r="BB14" s="598"/>
      <c r="BC14" s="598"/>
      <c r="BD14" s="598">
        <f t="shared" si="13"/>
        <v>15000</v>
      </c>
      <c r="BE14" s="599">
        <f t="shared" si="14"/>
        <v>0</v>
      </c>
      <c r="BF14" s="600" t="s">
        <v>285</v>
      </c>
      <c r="BG14" s="601">
        <f>AF14/1*5</f>
        <v>0</v>
      </c>
      <c r="BK14" s="690"/>
    </row>
    <row r="15" spans="1:63" s="44" customFormat="1" x14ac:dyDescent="0.3">
      <c r="A15" s="689"/>
      <c r="B15" s="570">
        <v>13</v>
      </c>
      <c r="C15" s="290"/>
      <c r="D15" s="289"/>
      <c r="E15" s="294"/>
      <c r="F15" s="289">
        <v>221</v>
      </c>
      <c r="G15" s="461">
        <v>43479</v>
      </c>
      <c r="H15" s="289"/>
      <c r="I15" s="45" t="s">
        <v>515</v>
      </c>
      <c r="J15" s="45" t="s">
        <v>40</v>
      </c>
      <c r="K15" s="45" t="s">
        <v>60</v>
      </c>
      <c r="L15" s="609" t="s">
        <v>141</v>
      </c>
      <c r="M15" s="606" t="s">
        <v>57</v>
      </c>
      <c r="N15" s="606" t="s">
        <v>59</v>
      </c>
      <c r="O15" s="289" t="s">
        <v>30</v>
      </c>
      <c r="P15" s="291">
        <v>25000</v>
      </c>
      <c r="Q15" s="291">
        <f t="shared" si="2"/>
        <v>15625</v>
      </c>
      <c r="R15" s="291">
        <f t="shared" si="3"/>
        <v>6250</v>
      </c>
      <c r="S15" s="291">
        <f t="shared" si="4"/>
        <v>1562.5</v>
      </c>
      <c r="T15" s="291">
        <f t="shared" si="5"/>
        <v>1562.5</v>
      </c>
      <c r="U15" s="291">
        <f t="shared" si="6"/>
        <v>25000</v>
      </c>
      <c r="V15" s="291"/>
      <c r="W15" s="291"/>
      <c r="X15" s="291">
        <f t="shared" si="15"/>
        <v>0</v>
      </c>
      <c r="Y15" s="699">
        <f>7-7</f>
        <v>0</v>
      </c>
      <c r="Z15" s="296">
        <f t="shared" si="16"/>
        <v>0</v>
      </c>
      <c r="AA15" s="291">
        <f t="shared" si="17"/>
        <v>146.19883040935673</v>
      </c>
      <c r="AB15" s="292"/>
      <c r="AC15" s="291">
        <f t="shared" si="7"/>
        <v>0</v>
      </c>
      <c r="AD15" s="732">
        <f t="shared" si="8"/>
        <v>25000</v>
      </c>
      <c r="AE15" s="291">
        <v>0</v>
      </c>
      <c r="AF15" s="291"/>
      <c r="AG15" s="291">
        <v>0</v>
      </c>
      <c r="AH15" s="291">
        <v>0</v>
      </c>
      <c r="AI15" s="736">
        <f t="shared" si="9"/>
        <v>25000</v>
      </c>
      <c r="AJ15" s="45" t="s">
        <v>466</v>
      </c>
      <c r="AK15" s="539" t="s">
        <v>514</v>
      </c>
      <c r="AL15" s="294" t="s">
        <v>584</v>
      </c>
      <c r="AM15" s="45" t="s">
        <v>515</v>
      </c>
      <c r="AN15" s="293"/>
      <c r="AO15" s="293"/>
      <c r="AP15" s="293"/>
      <c r="AQ15" s="293">
        <f>AI15</f>
        <v>25000</v>
      </c>
      <c r="AR15" s="293"/>
      <c r="AS15" s="293">
        <f t="shared" si="10"/>
        <v>25000</v>
      </c>
      <c r="AT15" s="295"/>
      <c r="AU15" s="293">
        <f t="shared" si="11"/>
        <v>25000</v>
      </c>
      <c r="AV15" s="598" t="s">
        <v>575</v>
      </c>
      <c r="AW15" s="598"/>
      <c r="AX15" s="598">
        <v>25000</v>
      </c>
      <c r="AY15" s="598"/>
      <c r="AZ15" s="598">
        <v>0</v>
      </c>
      <c r="BA15" s="598"/>
      <c r="BB15" s="598"/>
      <c r="BC15" s="598"/>
      <c r="BD15" s="598">
        <f t="shared" si="13"/>
        <v>25000</v>
      </c>
      <c r="BE15" s="599">
        <f t="shared" si="14"/>
        <v>0</v>
      </c>
      <c r="BF15" s="600" t="s">
        <v>285</v>
      </c>
      <c r="BG15" s="601">
        <f>AF15/1*5</f>
        <v>0</v>
      </c>
      <c r="BK15" s="690"/>
    </row>
    <row r="16" spans="1:63" s="44" customFormat="1" x14ac:dyDescent="0.3">
      <c r="A16" s="689"/>
      <c r="B16" s="570">
        <v>14</v>
      </c>
      <c r="C16" s="290"/>
      <c r="D16" s="289"/>
      <c r="E16" s="294"/>
      <c r="F16" s="289">
        <v>225</v>
      </c>
      <c r="G16" s="461">
        <v>43845</v>
      </c>
      <c r="H16" s="289"/>
      <c r="I16" s="45" t="s">
        <v>519</v>
      </c>
      <c r="J16" s="45" t="s">
        <v>40</v>
      </c>
      <c r="K16" s="45" t="s">
        <v>60</v>
      </c>
      <c r="L16" s="609" t="s">
        <v>141</v>
      </c>
      <c r="M16" s="606" t="s">
        <v>57</v>
      </c>
      <c r="N16" s="606" t="s">
        <v>59</v>
      </c>
      <c r="O16" s="289" t="s">
        <v>30</v>
      </c>
      <c r="P16" s="291">
        <f>15000+5000</f>
        <v>20000</v>
      </c>
      <c r="Q16" s="291">
        <f t="shared" si="2"/>
        <v>12500</v>
      </c>
      <c r="R16" s="291">
        <f t="shared" si="3"/>
        <v>5000</v>
      </c>
      <c r="S16" s="291">
        <f t="shared" si="4"/>
        <v>1250</v>
      </c>
      <c r="T16" s="291">
        <f t="shared" si="5"/>
        <v>1250</v>
      </c>
      <c r="U16" s="291">
        <f t="shared" si="6"/>
        <v>20000</v>
      </c>
      <c r="V16" s="291"/>
      <c r="W16" s="291"/>
      <c r="X16" s="291">
        <f t="shared" si="15"/>
        <v>0</v>
      </c>
      <c r="Y16" s="699"/>
      <c r="Z16" s="296">
        <f t="shared" si="16"/>
        <v>0</v>
      </c>
      <c r="AA16" s="291">
        <f t="shared" si="17"/>
        <v>116.95906432748536</v>
      </c>
      <c r="AB16" s="292"/>
      <c r="AC16" s="291">
        <f t="shared" si="7"/>
        <v>0</v>
      </c>
      <c r="AD16" s="732">
        <f t="shared" si="8"/>
        <v>20000</v>
      </c>
      <c r="AE16" s="291">
        <v>0</v>
      </c>
      <c r="AF16" s="291"/>
      <c r="AG16" s="291">
        <v>0</v>
      </c>
      <c r="AH16" s="291">
        <v>0</v>
      </c>
      <c r="AI16" s="736">
        <f t="shared" si="9"/>
        <v>20000</v>
      </c>
      <c r="AJ16" s="45" t="s">
        <v>101</v>
      </c>
      <c r="AK16" s="539" t="s">
        <v>551</v>
      </c>
      <c r="AL16" s="294" t="s">
        <v>585</v>
      </c>
      <c r="AM16" s="45" t="s">
        <v>518</v>
      </c>
      <c r="AN16" s="293">
        <f>AI16</f>
        <v>20000</v>
      </c>
      <c r="AO16" s="293"/>
      <c r="AP16" s="293"/>
      <c r="AQ16" s="293"/>
      <c r="AR16" s="293"/>
      <c r="AS16" s="293">
        <f t="shared" si="10"/>
        <v>20000</v>
      </c>
      <c r="AT16" s="295"/>
      <c r="AU16" s="293">
        <f t="shared" si="11"/>
        <v>20000</v>
      </c>
      <c r="AV16" s="598" t="s">
        <v>575</v>
      </c>
      <c r="AW16" s="598">
        <v>15789</v>
      </c>
      <c r="AX16" s="598"/>
      <c r="AY16" s="598"/>
      <c r="AZ16" s="598">
        <v>4211</v>
      </c>
      <c r="BA16" s="598">
        <v>0</v>
      </c>
      <c r="BB16" s="598"/>
      <c r="BC16" s="598"/>
      <c r="BD16" s="598">
        <f t="shared" si="13"/>
        <v>20000</v>
      </c>
      <c r="BE16" s="599">
        <f t="shared" si="14"/>
        <v>0</v>
      </c>
      <c r="BF16" s="600" t="s">
        <v>285</v>
      </c>
      <c r="BG16" s="601">
        <f>AF16/1*5</f>
        <v>0</v>
      </c>
      <c r="BK16" s="690"/>
    </row>
    <row r="17" spans="1:63" s="44" customFormat="1" ht="26.4" x14ac:dyDescent="0.3">
      <c r="A17" s="689"/>
      <c r="B17" s="691">
        <v>22</v>
      </c>
      <c r="C17" s="692">
        <v>43890</v>
      </c>
      <c r="D17" s="693">
        <v>10000</v>
      </c>
      <c r="E17" s="694"/>
      <c r="F17" s="693">
        <v>202</v>
      </c>
      <c r="G17" s="695">
        <v>43760</v>
      </c>
      <c r="H17" s="693" t="s">
        <v>69</v>
      </c>
      <c r="I17" s="696" t="s">
        <v>468</v>
      </c>
      <c r="J17" s="696" t="s">
        <v>578</v>
      </c>
      <c r="K17" s="696" t="s">
        <v>527</v>
      </c>
      <c r="L17" s="697" t="s">
        <v>430</v>
      </c>
      <c r="M17" s="698" t="s">
        <v>57</v>
      </c>
      <c r="N17" s="698" t="s">
        <v>59</v>
      </c>
      <c r="O17" s="693" t="s">
        <v>30</v>
      </c>
      <c r="P17" s="699">
        <f>15000+10000</f>
        <v>25000</v>
      </c>
      <c r="Q17" s="699">
        <f t="shared" si="2"/>
        <v>15625</v>
      </c>
      <c r="R17" s="699">
        <f t="shared" si="3"/>
        <v>6250</v>
      </c>
      <c r="S17" s="699">
        <f t="shared" si="4"/>
        <v>1562.5</v>
      </c>
      <c r="T17" s="699">
        <f t="shared" si="5"/>
        <v>1562.5</v>
      </c>
      <c r="U17" s="699">
        <f t="shared" si="6"/>
        <v>25000</v>
      </c>
      <c r="V17" s="699"/>
      <c r="W17" s="699"/>
      <c r="X17" s="699">
        <f t="shared" si="15"/>
        <v>0</v>
      </c>
      <c r="Y17" s="699">
        <v>5</v>
      </c>
      <c r="Z17" s="700">
        <f t="shared" si="16"/>
        <v>6578.9473684210534</v>
      </c>
      <c r="AA17" s="699">
        <f t="shared" si="17"/>
        <v>146.19883040935673</v>
      </c>
      <c r="AB17" s="701">
        <v>15</v>
      </c>
      <c r="AC17" s="699">
        <f t="shared" si="7"/>
        <v>2192.9824561403511</v>
      </c>
      <c r="AD17" s="699">
        <f t="shared" si="8"/>
        <v>16228.070175438595</v>
      </c>
      <c r="AE17" s="699">
        <v>0</v>
      </c>
      <c r="AF17" s="699">
        <v>0</v>
      </c>
      <c r="AG17" s="699">
        <v>0</v>
      </c>
      <c r="AH17" s="699">
        <v>0</v>
      </c>
      <c r="AI17" s="699">
        <f t="shared" si="9"/>
        <v>16228.070175438595</v>
      </c>
      <c r="AJ17" s="696" t="s">
        <v>466</v>
      </c>
      <c r="AK17" s="696" t="s">
        <v>467</v>
      </c>
      <c r="AL17" s="694"/>
      <c r="AM17" s="696" t="s">
        <v>468</v>
      </c>
      <c r="AN17" s="702"/>
      <c r="AO17" s="702"/>
      <c r="AP17" s="702"/>
      <c r="AQ17" s="702"/>
      <c r="AR17" s="702"/>
      <c r="AS17" s="702">
        <f t="shared" si="10"/>
        <v>0</v>
      </c>
      <c r="AT17" s="703">
        <f>Master[[#This Row],[Net Pay]]</f>
        <v>16228.070175438595</v>
      </c>
      <c r="AU17" s="702">
        <f t="shared" si="11"/>
        <v>16228.070175438595</v>
      </c>
      <c r="AV17" s="704">
        <f t="shared" si="12"/>
        <v>0</v>
      </c>
      <c r="AW17" s="704"/>
      <c r="AX17" s="704"/>
      <c r="AY17" s="704"/>
      <c r="AZ17" s="704">
        <v>0</v>
      </c>
      <c r="BA17" s="704">
        <v>0</v>
      </c>
      <c r="BB17" s="704"/>
      <c r="BC17" s="704">
        <v>16228</v>
      </c>
      <c r="BD17" s="704">
        <f t="shared" si="13"/>
        <v>16228</v>
      </c>
      <c r="BE17" s="705">
        <f t="shared" si="14"/>
        <v>-7.0175438595470041E-2</v>
      </c>
      <c r="BF17" s="706" t="s">
        <v>285</v>
      </c>
      <c r="BG17" s="707">
        <f>AF17/1*5</f>
        <v>0</v>
      </c>
      <c r="BK17" s="690"/>
    </row>
    <row r="18" spans="1:63" s="44" customFormat="1" ht="26.4" x14ac:dyDescent="0.3">
      <c r="A18" s="689"/>
      <c r="B18" s="570">
        <v>23</v>
      </c>
      <c r="C18" s="290"/>
      <c r="D18" s="289"/>
      <c r="E18" s="294"/>
      <c r="F18" s="289">
        <v>222</v>
      </c>
      <c r="G18" s="461">
        <v>43861</v>
      </c>
      <c r="H18" s="289"/>
      <c r="I18" s="45" t="s">
        <v>525</v>
      </c>
      <c r="J18" s="696" t="s">
        <v>578</v>
      </c>
      <c r="K18" s="45" t="s">
        <v>527</v>
      </c>
      <c r="L18" s="609" t="s">
        <v>430</v>
      </c>
      <c r="M18" s="606" t="s">
        <v>57</v>
      </c>
      <c r="N18" s="606" t="s">
        <v>59</v>
      </c>
      <c r="O18" s="289" t="s">
        <v>30</v>
      </c>
      <c r="P18" s="291">
        <f>15000+5000</f>
        <v>20000</v>
      </c>
      <c r="Q18" s="291">
        <f t="shared" si="2"/>
        <v>12500</v>
      </c>
      <c r="R18" s="291">
        <f t="shared" si="3"/>
        <v>5000</v>
      </c>
      <c r="S18" s="291">
        <f t="shared" si="4"/>
        <v>1250</v>
      </c>
      <c r="T18" s="291">
        <f t="shared" si="5"/>
        <v>1250</v>
      </c>
      <c r="U18" s="291">
        <f t="shared" si="6"/>
        <v>20000</v>
      </c>
      <c r="V18" s="291"/>
      <c r="W18" s="291"/>
      <c r="X18" s="291">
        <f t="shared" si="15"/>
        <v>0</v>
      </c>
      <c r="Y18" s="699"/>
      <c r="Z18" s="296">
        <f t="shared" si="16"/>
        <v>0</v>
      </c>
      <c r="AA18" s="291">
        <f t="shared" si="17"/>
        <v>116.95906432748536</v>
      </c>
      <c r="AB18" s="292"/>
      <c r="AC18" s="291">
        <f t="shared" si="7"/>
        <v>0</v>
      </c>
      <c r="AD18" s="732">
        <f t="shared" si="8"/>
        <v>20000</v>
      </c>
      <c r="AE18" s="291">
        <v>0</v>
      </c>
      <c r="AF18" s="291"/>
      <c r="AG18" s="291">
        <v>0</v>
      </c>
      <c r="AH18" s="291">
        <v>0</v>
      </c>
      <c r="AI18" s="736">
        <f t="shared" si="9"/>
        <v>20000</v>
      </c>
      <c r="AJ18" s="45" t="s">
        <v>145</v>
      </c>
      <c r="AK18" s="45" t="s">
        <v>532</v>
      </c>
      <c r="AL18" s="294" t="s">
        <v>586</v>
      </c>
      <c r="AM18" s="45" t="s">
        <v>531</v>
      </c>
      <c r="AN18" s="293"/>
      <c r="AO18" s="293"/>
      <c r="AP18" s="293"/>
      <c r="AQ18" s="293">
        <f>AI18</f>
        <v>20000</v>
      </c>
      <c r="AR18" s="293"/>
      <c r="AS18" s="293">
        <f t="shared" si="10"/>
        <v>20000</v>
      </c>
      <c r="AT18" s="295"/>
      <c r="AU18" s="293">
        <f t="shared" si="11"/>
        <v>20000</v>
      </c>
      <c r="AV18" s="598">
        <f t="shared" si="12"/>
        <v>0</v>
      </c>
      <c r="AW18" s="598"/>
      <c r="AX18" s="598"/>
      <c r="AY18" s="598"/>
      <c r="AZ18" s="598">
        <v>0</v>
      </c>
      <c r="BA18" s="598">
        <f>18947+1053</f>
        <v>20000</v>
      </c>
      <c r="BB18" s="598"/>
      <c r="BC18" s="598"/>
      <c r="BD18" s="598">
        <f t="shared" si="13"/>
        <v>20000</v>
      </c>
      <c r="BE18" s="599">
        <f t="shared" si="14"/>
        <v>0</v>
      </c>
      <c r="BF18" s="600" t="s">
        <v>285</v>
      </c>
      <c r="BG18" s="601"/>
      <c r="BK18" s="690"/>
    </row>
    <row r="19" spans="1:63" s="44" customFormat="1" x14ac:dyDescent="0.3">
      <c r="A19" s="689"/>
      <c r="B19" s="570">
        <v>6</v>
      </c>
      <c r="C19" s="290">
        <v>43738</v>
      </c>
      <c r="D19" s="289">
        <v>5000</v>
      </c>
      <c r="E19" s="294">
        <f t="shared" ref="E19:E24" si="18">ROUND(_xlfn.DAYS($E$1,C19)/30,0)</f>
        <v>7</v>
      </c>
      <c r="F19" s="289">
        <v>144</v>
      </c>
      <c r="G19" s="461" t="s">
        <v>436</v>
      </c>
      <c r="H19" s="289" t="s">
        <v>69</v>
      </c>
      <c r="I19" s="45" t="s">
        <v>429</v>
      </c>
      <c r="J19" s="45" t="s">
        <v>48</v>
      </c>
      <c r="K19" s="45" t="s">
        <v>49</v>
      </c>
      <c r="L19" s="609" t="s">
        <v>110</v>
      </c>
      <c r="M19" s="606" t="s">
        <v>59</v>
      </c>
      <c r="N19" s="606" t="s">
        <v>59</v>
      </c>
      <c r="O19" s="289" t="s">
        <v>37</v>
      </c>
      <c r="P19" s="291">
        <f>20000+5000</f>
        <v>25000</v>
      </c>
      <c r="Q19" s="291">
        <f t="shared" si="2"/>
        <v>15625</v>
      </c>
      <c r="R19" s="291">
        <f t="shared" si="3"/>
        <v>6250</v>
      </c>
      <c r="S19" s="291">
        <f t="shared" si="4"/>
        <v>1562.5</v>
      </c>
      <c r="T19" s="291">
        <f t="shared" si="5"/>
        <v>1562.5</v>
      </c>
      <c r="U19" s="291">
        <f t="shared" si="6"/>
        <v>25000</v>
      </c>
      <c r="V19" s="291"/>
      <c r="W19" s="291"/>
      <c r="X19" s="291">
        <f t="shared" si="15"/>
        <v>0</v>
      </c>
      <c r="Y19" s="291">
        <v>0</v>
      </c>
      <c r="Z19" s="296">
        <f t="shared" si="16"/>
        <v>0</v>
      </c>
      <c r="AA19" s="291">
        <f t="shared" si="17"/>
        <v>146.19883040935673</v>
      </c>
      <c r="AB19" s="292"/>
      <c r="AC19" s="291">
        <f t="shared" si="7"/>
        <v>0</v>
      </c>
      <c r="AD19" s="732">
        <f t="shared" si="8"/>
        <v>25000</v>
      </c>
      <c r="AE19" s="291">
        <v>0</v>
      </c>
      <c r="AF19" s="291">
        <v>0</v>
      </c>
      <c r="AG19" s="688">
        <v>3000</v>
      </c>
      <c r="AH19" s="291">
        <v>0</v>
      </c>
      <c r="AI19" s="736">
        <f t="shared" si="9"/>
        <v>22000</v>
      </c>
      <c r="AJ19" s="45" t="s">
        <v>101</v>
      </c>
      <c r="AK19" s="45" t="s">
        <v>294</v>
      </c>
      <c r="AL19" s="294"/>
      <c r="AM19" s="45" t="s">
        <v>47</v>
      </c>
      <c r="AN19" s="293"/>
      <c r="AO19" s="293"/>
      <c r="AP19" s="293"/>
      <c r="AQ19" s="293"/>
      <c r="AR19" s="293">
        <f>+AI19</f>
        <v>22000</v>
      </c>
      <c r="AS19" s="293">
        <f t="shared" si="10"/>
        <v>22000</v>
      </c>
      <c r="AT19" s="295"/>
      <c r="AU19" s="293">
        <f t="shared" si="11"/>
        <v>22000</v>
      </c>
      <c r="AV19" s="598" t="s">
        <v>575</v>
      </c>
      <c r="AW19" s="598"/>
      <c r="AX19" s="598"/>
      <c r="AY19" s="598">
        <v>22000</v>
      </c>
      <c r="AZ19" s="598">
        <v>0</v>
      </c>
      <c r="BA19" s="598">
        <v>0</v>
      </c>
      <c r="BB19" s="598"/>
      <c r="BC19" s="598"/>
      <c r="BD19" s="598">
        <f t="shared" si="13"/>
        <v>22000</v>
      </c>
      <c r="BE19" s="599">
        <f t="shared" si="14"/>
        <v>0</v>
      </c>
      <c r="BF19" s="600" t="s">
        <v>285</v>
      </c>
      <c r="BG19" s="601">
        <f t="shared" ref="BG19:BG24" si="19">AF19/1*5</f>
        <v>0</v>
      </c>
      <c r="BK19" s="690"/>
    </row>
    <row r="20" spans="1:63" s="44" customFormat="1" x14ac:dyDescent="0.3">
      <c r="A20" s="689"/>
      <c r="B20" s="570">
        <v>10</v>
      </c>
      <c r="C20" s="290">
        <v>43830</v>
      </c>
      <c r="D20" s="289">
        <v>10000</v>
      </c>
      <c r="E20" s="294">
        <f t="shared" si="18"/>
        <v>4</v>
      </c>
      <c r="F20" s="289">
        <v>147</v>
      </c>
      <c r="G20" s="461">
        <v>43186</v>
      </c>
      <c r="H20" s="289" t="s">
        <v>69</v>
      </c>
      <c r="I20" s="45" t="s">
        <v>178</v>
      </c>
      <c r="J20" s="45" t="s">
        <v>40</v>
      </c>
      <c r="K20" s="45" t="s">
        <v>60</v>
      </c>
      <c r="L20" s="609" t="s">
        <v>141</v>
      </c>
      <c r="M20" s="606" t="s">
        <v>57</v>
      </c>
      <c r="N20" s="606" t="s">
        <v>59</v>
      </c>
      <c r="O20" s="289" t="s">
        <v>37</v>
      </c>
      <c r="P20" s="291">
        <f>10000+5000+10000+10000</f>
        <v>35000</v>
      </c>
      <c r="Q20" s="291">
        <f t="shared" si="2"/>
        <v>21875</v>
      </c>
      <c r="R20" s="291">
        <f t="shared" si="3"/>
        <v>8750</v>
      </c>
      <c r="S20" s="291">
        <f t="shared" si="4"/>
        <v>2187.5</v>
      </c>
      <c r="T20" s="291">
        <f t="shared" si="5"/>
        <v>2187.5</v>
      </c>
      <c r="U20" s="291">
        <f t="shared" si="6"/>
        <v>35000</v>
      </c>
      <c r="V20" s="291"/>
      <c r="W20" s="291"/>
      <c r="X20" s="291">
        <f t="shared" si="15"/>
        <v>0</v>
      </c>
      <c r="Y20" s="699">
        <v>4</v>
      </c>
      <c r="Z20" s="296">
        <f t="shared" si="16"/>
        <v>7368.4210526315792</v>
      </c>
      <c r="AA20" s="291">
        <f t="shared" si="17"/>
        <v>204.67836257309943</v>
      </c>
      <c r="AB20" s="292"/>
      <c r="AC20" s="291">
        <f t="shared" si="7"/>
        <v>0</v>
      </c>
      <c r="AD20" s="732">
        <f t="shared" si="8"/>
        <v>27631.57894736842</v>
      </c>
      <c r="AE20" s="291">
        <v>0</v>
      </c>
      <c r="AF20" s="291">
        <v>0</v>
      </c>
      <c r="AG20" s="291">
        <v>0</v>
      </c>
      <c r="AH20" s="291">
        <v>0</v>
      </c>
      <c r="AI20" s="736">
        <f t="shared" si="9"/>
        <v>27631.57894736842</v>
      </c>
      <c r="AJ20" s="45" t="s">
        <v>145</v>
      </c>
      <c r="AK20" s="45" t="s">
        <v>421</v>
      </c>
      <c r="AL20" s="294" t="s">
        <v>252</v>
      </c>
      <c r="AM20" s="45" t="s">
        <v>420</v>
      </c>
      <c r="AN20" s="293"/>
      <c r="AO20" s="293"/>
      <c r="AP20" s="293"/>
      <c r="AQ20" s="293"/>
      <c r="AR20" s="293">
        <f>AI20</f>
        <v>27631.57894736842</v>
      </c>
      <c r="AS20" s="293">
        <f t="shared" si="10"/>
        <v>27631.57894736842</v>
      </c>
      <c r="AT20" s="295"/>
      <c r="AU20" s="293">
        <f t="shared" si="11"/>
        <v>27631.57894736842</v>
      </c>
      <c r="AV20" s="598" t="s">
        <v>575</v>
      </c>
      <c r="AW20" s="598"/>
      <c r="AX20" s="598"/>
      <c r="AY20" s="598">
        <v>27632</v>
      </c>
      <c r="AZ20" s="598">
        <v>0</v>
      </c>
      <c r="BA20" s="598">
        <v>0</v>
      </c>
      <c r="BB20" s="598"/>
      <c r="BC20" s="598"/>
      <c r="BD20" s="598">
        <f t="shared" si="13"/>
        <v>27632</v>
      </c>
      <c r="BE20" s="599">
        <f t="shared" si="14"/>
        <v>0.4210526315800962</v>
      </c>
      <c r="BF20" s="600" t="s">
        <v>285</v>
      </c>
      <c r="BG20" s="601">
        <f t="shared" si="19"/>
        <v>0</v>
      </c>
      <c r="BK20" s="690"/>
    </row>
    <row r="21" spans="1:63" s="44" customFormat="1" ht="26.4" x14ac:dyDescent="0.3">
      <c r="A21" s="689"/>
      <c r="B21" s="570">
        <v>4</v>
      </c>
      <c r="C21" s="290">
        <v>43738</v>
      </c>
      <c r="D21" s="289">
        <v>5000</v>
      </c>
      <c r="E21" s="294">
        <f t="shared" si="18"/>
        <v>7</v>
      </c>
      <c r="F21" s="289">
        <v>168</v>
      </c>
      <c r="G21" s="569" t="s">
        <v>416</v>
      </c>
      <c r="H21" s="289" t="s">
        <v>69</v>
      </c>
      <c r="I21" s="45" t="s">
        <v>283</v>
      </c>
      <c r="J21" s="45" t="s">
        <v>48</v>
      </c>
      <c r="K21" s="45" t="s">
        <v>49</v>
      </c>
      <c r="L21" s="609" t="s">
        <v>110</v>
      </c>
      <c r="M21" s="606" t="s">
        <v>59</v>
      </c>
      <c r="N21" s="606" t="s">
        <v>59</v>
      </c>
      <c r="O21" s="289" t="s">
        <v>37</v>
      </c>
      <c r="P21" s="291">
        <f>25000+5000</f>
        <v>30000</v>
      </c>
      <c r="Q21" s="291">
        <f t="shared" si="2"/>
        <v>18750</v>
      </c>
      <c r="R21" s="291">
        <f t="shared" si="3"/>
        <v>7500</v>
      </c>
      <c r="S21" s="291">
        <f t="shared" si="4"/>
        <v>1875</v>
      </c>
      <c r="T21" s="291">
        <f t="shared" si="5"/>
        <v>1875</v>
      </c>
      <c r="U21" s="291">
        <f t="shared" si="6"/>
        <v>30000</v>
      </c>
      <c r="V21" s="291"/>
      <c r="W21" s="291"/>
      <c r="X21" s="291">
        <f t="shared" si="15"/>
        <v>0</v>
      </c>
      <c r="Y21" s="291">
        <v>0</v>
      </c>
      <c r="Z21" s="296">
        <f t="shared" si="16"/>
        <v>0</v>
      </c>
      <c r="AA21" s="291">
        <f t="shared" si="17"/>
        <v>175.43859649122808</v>
      </c>
      <c r="AB21" s="292"/>
      <c r="AC21" s="291">
        <f t="shared" si="7"/>
        <v>0</v>
      </c>
      <c r="AD21" s="732">
        <f t="shared" si="8"/>
        <v>30000</v>
      </c>
      <c r="AE21" s="291">
        <v>0</v>
      </c>
      <c r="AF21" s="291">
        <v>0</v>
      </c>
      <c r="AG21" s="688">
        <v>4000</v>
      </c>
      <c r="AH21" s="291">
        <v>5000</v>
      </c>
      <c r="AI21" s="736">
        <f t="shared" si="9"/>
        <v>21000</v>
      </c>
      <c r="AJ21" s="45" t="s">
        <v>101</v>
      </c>
      <c r="AK21" s="45" t="s">
        <v>294</v>
      </c>
      <c r="AL21" s="294" t="s">
        <v>295</v>
      </c>
      <c r="AM21" s="45" t="s">
        <v>47</v>
      </c>
      <c r="AN21" s="293">
        <f>+AI21</f>
        <v>21000</v>
      </c>
      <c r="AO21" s="293"/>
      <c r="AP21" s="293"/>
      <c r="AQ21" s="293"/>
      <c r="AR21" s="293"/>
      <c r="AS21" s="293">
        <f t="shared" si="10"/>
        <v>21000</v>
      </c>
      <c r="AT21" s="295"/>
      <c r="AU21" s="293">
        <f t="shared" si="11"/>
        <v>21000</v>
      </c>
      <c r="AV21" s="598" t="s">
        <v>575</v>
      </c>
      <c r="AW21" s="598">
        <v>21000</v>
      </c>
      <c r="AX21" s="598"/>
      <c r="AY21" s="598"/>
      <c r="AZ21" s="598"/>
      <c r="BA21" s="598">
        <v>0</v>
      </c>
      <c r="BB21" s="598"/>
      <c r="BC21" s="598"/>
      <c r="BD21" s="598">
        <f t="shared" si="13"/>
        <v>21000</v>
      </c>
      <c r="BE21" s="599">
        <f t="shared" si="14"/>
        <v>0</v>
      </c>
      <c r="BF21" s="600" t="s">
        <v>285</v>
      </c>
      <c r="BG21" s="601">
        <f t="shared" si="19"/>
        <v>0</v>
      </c>
      <c r="BK21" s="690"/>
    </row>
    <row r="22" spans="1:63" s="44" customFormat="1" x14ac:dyDescent="0.3">
      <c r="A22" s="689"/>
      <c r="B22" s="570">
        <v>5</v>
      </c>
      <c r="C22" s="290">
        <v>43738</v>
      </c>
      <c r="D22" s="289">
        <v>5000</v>
      </c>
      <c r="E22" s="294">
        <f t="shared" si="18"/>
        <v>7</v>
      </c>
      <c r="F22" s="289">
        <v>176</v>
      </c>
      <c r="G22" s="461">
        <v>43298</v>
      </c>
      <c r="H22" s="289" t="s">
        <v>69</v>
      </c>
      <c r="I22" s="45" t="s">
        <v>281</v>
      </c>
      <c r="J22" s="45" t="s">
        <v>48</v>
      </c>
      <c r="K22" s="45" t="s">
        <v>49</v>
      </c>
      <c r="L22" s="609" t="s">
        <v>110</v>
      </c>
      <c r="M22" s="606" t="s">
        <v>59</v>
      </c>
      <c r="N22" s="606" t="s">
        <v>59</v>
      </c>
      <c r="O22" s="289" t="s">
        <v>37</v>
      </c>
      <c r="P22" s="291">
        <f>20000+5000+5000</f>
        <v>30000</v>
      </c>
      <c r="Q22" s="291">
        <f t="shared" si="2"/>
        <v>18750</v>
      </c>
      <c r="R22" s="291">
        <f t="shared" si="3"/>
        <v>7500</v>
      </c>
      <c r="S22" s="291">
        <f t="shared" si="4"/>
        <v>1875</v>
      </c>
      <c r="T22" s="291">
        <f t="shared" si="5"/>
        <v>1875</v>
      </c>
      <c r="U22" s="291">
        <f t="shared" si="6"/>
        <v>30000</v>
      </c>
      <c r="V22" s="291"/>
      <c r="W22" s="291"/>
      <c r="X22" s="291">
        <f t="shared" si="15"/>
        <v>0</v>
      </c>
      <c r="Y22" s="291">
        <v>0</v>
      </c>
      <c r="Z22" s="296">
        <f t="shared" si="16"/>
        <v>0</v>
      </c>
      <c r="AA22" s="291">
        <f t="shared" si="17"/>
        <v>175.43859649122808</v>
      </c>
      <c r="AB22" s="292"/>
      <c r="AC22" s="291">
        <f t="shared" si="7"/>
        <v>0</v>
      </c>
      <c r="AD22" s="732">
        <f t="shared" si="8"/>
        <v>30000</v>
      </c>
      <c r="AE22" s="291">
        <v>0</v>
      </c>
      <c r="AF22" s="291">
        <v>0</v>
      </c>
      <c r="AG22" s="291">
        <v>0</v>
      </c>
      <c r="AH22" s="291">
        <v>0</v>
      </c>
      <c r="AI22" s="735">
        <f t="shared" si="9"/>
        <v>30000</v>
      </c>
      <c r="AJ22" s="45"/>
      <c r="AK22" s="45"/>
      <c r="AL22" s="294"/>
      <c r="AM22" s="45" t="s">
        <v>47</v>
      </c>
      <c r="AN22" s="293"/>
      <c r="AO22" s="293"/>
      <c r="AP22" s="293"/>
      <c r="AQ22" s="293"/>
      <c r="AR22" s="293">
        <f>+AI22</f>
        <v>30000</v>
      </c>
      <c r="AS22" s="293">
        <f t="shared" si="10"/>
        <v>30000</v>
      </c>
      <c r="AT22" s="295"/>
      <c r="AU22" s="293">
        <f t="shared" si="11"/>
        <v>30000</v>
      </c>
      <c r="AV22" s="598" t="s">
        <v>575</v>
      </c>
      <c r="AW22" s="598"/>
      <c r="AX22" s="598"/>
      <c r="AY22" s="598">
        <v>30000</v>
      </c>
      <c r="AZ22" s="598"/>
      <c r="BA22" s="598">
        <v>0</v>
      </c>
      <c r="BB22" s="598"/>
      <c r="BC22" s="598"/>
      <c r="BD22" s="598">
        <f t="shared" si="13"/>
        <v>30000</v>
      </c>
      <c r="BE22" s="599">
        <f t="shared" si="14"/>
        <v>0</v>
      </c>
      <c r="BF22" s="600" t="s">
        <v>285</v>
      </c>
      <c r="BG22" s="601">
        <f t="shared" si="19"/>
        <v>0</v>
      </c>
      <c r="BK22" s="690"/>
    </row>
    <row r="23" spans="1:63" s="44" customFormat="1" x14ac:dyDescent="0.3">
      <c r="A23" s="689"/>
      <c r="B23" s="570">
        <v>11</v>
      </c>
      <c r="C23" s="290">
        <v>43830</v>
      </c>
      <c r="D23" s="289">
        <v>10000</v>
      </c>
      <c r="E23" s="294">
        <f t="shared" si="18"/>
        <v>4</v>
      </c>
      <c r="F23" s="289">
        <v>173</v>
      </c>
      <c r="G23" s="461">
        <v>43270</v>
      </c>
      <c r="H23" s="289" t="s">
        <v>69</v>
      </c>
      <c r="I23" s="45" t="s">
        <v>269</v>
      </c>
      <c r="J23" s="45" t="s">
        <v>40</v>
      </c>
      <c r="K23" s="45" t="s">
        <v>60</v>
      </c>
      <c r="L23" s="609" t="s">
        <v>141</v>
      </c>
      <c r="M23" s="606" t="s">
        <v>57</v>
      </c>
      <c r="N23" s="606" t="s">
        <v>59</v>
      </c>
      <c r="O23" s="289" t="s">
        <v>37</v>
      </c>
      <c r="P23" s="291">
        <f>15000+10000+10000</f>
        <v>35000</v>
      </c>
      <c r="Q23" s="291">
        <f t="shared" si="2"/>
        <v>21875</v>
      </c>
      <c r="R23" s="291">
        <f t="shared" si="3"/>
        <v>8750</v>
      </c>
      <c r="S23" s="291">
        <f t="shared" si="4"/>
        <v>2187.5</v>
      </c>
      <c r="T23" s="291">
        <f t="shared" si="5"/>
        <v>2187.5</v>
      </c>
      <c r="U23" s="291">
        <f t="shared" si="6"/>
        <v>35000</v>
      </c>
      <c r="V23" s="291"/>
      <c r="W23" s="291"/>
      <c r="X23" s="291">
        <f t="shared" si="15"/>
        <v>0</v>
      </c>
      <c r="Y23" s="291">
        <v>0</v>
      </c>
      <c r="Z23" s="296">
        <f t="shared" si="16"/>
        <v>0</v>
      </c>
      <c r="AA23" s="291">
        <f t="shared" si="17"/>
        <v>204.67836257309943</v>
      </c>
      <c r="AB23" s="292"/>
      <c r="AC23" s="291">
        <f t="shared" si="7"/>
        <v>0</v>
      </c>
      <c r="AD23" s="732">
        <f t="shared" si="8"/>
        <v>35000</v>
      </c>
      <c r="AE23" s="291">
        <v>0</v>
      </c>
      <c r="AF23" s="291">
        <v>0</v>
      </c>
      <c r="AG23" s="291">
        <v>0</v>
      </c>
      <c r="AH23" s="291">
        <v>0</v>
      </c>
      <c r="AI23" s="736">
        <f t="shared" si="9"/>
        <v>35000</v>
      </c>
      <c r="AJ23" s="45" t="s">
        <v>101</v>
      </c>
      <c r="AK23" s="45" t="s">
        <v>445</v>
      </c>
      <c r="AL23" s="294" t="s">
        <v>446</v>
      </c>
      <c r="AM23" s="45" t="s">
        <v>447</v>
      </c>
      <c r="AN23" s="293">
        <f>AI23</f>
        <v>35000</v>
      </c>
      <c r="AO23" s="293"/>
      <c r="AP23" s="293"/>
      <c r="AQ23" s="293"/>
      <c r="AR23" s="293"/>
      <c r="AS23" s="293">
        <f t="shared" si="10"/>
        <v>35000</v>
      </c>
      <c r="AT23" s="295"/>
      <c r="AU23" s="293">
        <f t="shared" si="11"/>
        <v>35000</v>
      </c>
      <c r="AV23" s="598" t="s">
        <v>575</v>
      </c>
      <c r="AW23" s="598">
        <v>35000</v>
      </c>
      <c r="AX23" s="598"/>
      <c r="AY23" s="598"/>
      <c r="AZ23" s="598">
        <v>0</v>
      </c>
      <c r="BA23" s="598">
        <v>0</v>
      </c>
      <c r="BB23" s="598"/>
      <c r="BC23" s="598"/>
      <c r="BD23" s="598">
        <f t="shared" si="13"/>
        <v>35000</v>
      </c>
      <c r="BE23" s="599">
        <f t="shared" si="14"/>
        <v>0</v>
      </c>
      <c r="BF23" s="600" t="s">
        <v>285</v>
      </c>
      <c r="BG23" s="601">
        <f t="shared" si="19"/>
        <v>0</v>
      </c>
      <c r="BK23" s="690"/>
    </row>
    <row r="24" spans="1:63" s="44" customFormat="1" x14ac:dyDescent="0.3">
      <c r="A24" s="689"/>
      <c r="B24" s="570">
        <v>12</v>
      </c>
      <c r="C24" s="290">
        <v>43830</v>
      </c>
      <c r="D24" s="289">
        <v>10000</v>
      </c>
      <c r="E24" s="294">
        <f t="shared" si="18"/>
        <v>4</v>
      </c>
      <c r="F24" s="289">
        <v>174</v>
      </c>
      <c r="G24" s="461">
        <v>43277</v>
      </c>
      <c r="H24" s="289" t="s">
        <v>69</v>
      </c>
      <c r="I24" s="45" t="s">
        <v>270</v>
      </c>
      <c r="J24" s="45" t="s">
        <v>40</v>
      </c>
      <c r="K24" s="45" t="s">
        <v>60</v>
      </c>
      <c r="L24" s="609" t="s">
        <v>141</v>
      </c>
      <c r="M24" s="606" t="s">
        <v>57</v>
      </c>
      <c r="N24" s="606" t="s">
        <v>59</v>
      </c>
      <c r="O24" s="289" t="s">
        <v>37</v>
      </c>
      <c r="P24" s="291">
        <f>15000+10000+10000</f>
        <v>35000</v>
      </c>
      <c r="Q24" s="291">
        <f t="shared" si="2"/>
        <v>21875</v>
      </c>
      <c r="R24" s="291">
        <f t="shared" si="3"/>
        <v>8750</v>
      </c>
      <c r="S24" s="291">
        <f t="shared" si="4"/>
        <v>2187.5</v>
      </c>
      <c r="T24" s="291">
        <f t="shared" si="5"/>
        <v>2187.5</v>
      </c>
      <c r="U24" s="291">
        <f t="shared" si="6"/>
        <v>35000</v>
      </c>
      <c r="V24" s="291"/>
      <c r="W24" s="291"/>
      <c r="X24" s="291">
        <f t="shared" si="15"/>
        <v>0</v>
      </c>
      <c r="Y24" s="291">
        <v>0</v>
      </c>
      <c r="Z24" s="296">
        <f t="shared" si="16"/>
        <v>0</v>
      </c>
      <c r="AA24" s="291">
        <f t="shared" si="17"/>
        <v>204.67836257309943</v>
      </c>
      <c r="AB24" s="292"/>
      <c r="AC24" s="291">
        <f t="shared" si="7"/>
        <v>0</v>
      </c>
      <c r="AD24" s="732">
        <f t="shared" si="8"/>
        <v>35000</v>
      </c>
      <c r="AE24" s="291">
        <v>0</v>
      </c>
      <c r="AF24" s="291">
        <v>0</v>
      </c>
      <c r="AG24" s="291">
        <v>0</v>
      </c>
      <c r="AH24" s="291">
        <v>0</v>
      </c>
      <c r="AI24" s="736">
        <f t="shared" si="9"/>
        <v>35000</v>
      </c>
      <c r="AJ24" s="45" t="s">
        <v>101</v>
      </c>
      <c r="AK24" s="45" t="s">
        <v>392</v>
      </c>
      <c r="AL24" s="294" t="s">
        <v>587</v>
      </c>
      <c r="AM24" s="45" t="s">
        <v>393</v>
      </c>
      <c r="AN24" s="293">
        <f>AI24</f>
        <v>35000</v>
      </c>
      <c r="AO24" s="293"/>
      <c r="AP24" s="293"/>
      <c r="AQ24" s="293"/>
      <c r="AR24" s="293"/>
      <c r="AS24" s="293">
        <f t="shared" si="10"/>
        <v>35000</v>
      </c>
      <c r="AT24" s="295"/>
      <c r="AU24" s="293">
        <f t="shared" si="11"/>
        <v>35000</v>
      </c>
      <c r="AV24" s="598" t="s">
        <v>575</v>
      </c>
      <c r="AW24" s="598">
        <v>35000</v>
      </c>
      <c r="AX24" s="598"/>
      <c r="AY24" s="598"/>
      <c r="AZ24" s="598">
        <v>0</v>
      </c>
      <c r="BA24" s="598">
        <v>0</v>
      </c>
      <c r="BB24" s="598"/>
      <c r="BC24" s="598"/>
      <c r="BD24" s="598">
        <f t="shared" si="13"/>
        <v>35000</v>
      </c>
      <c r="BE24" s="599">
        <f t="shared" si="14"/>
        <v>0</v>
      </c>
      <c r="BF24" s="600" t="s">
        <v>285</v>
      </c>
      <c r="BG24" s="601">
        <f t="shared" si="19"/>
        <v>0</v>
      </c>
      <c r="BK24" s="690"/>
    </row>
    <row r="25" spans="1:63" s="44" customFormat="1" x14ac:dyDescent="0.3">
      <c r="A25" s="689"/>
      <c r="B25" s="570">
        <v>36</v>
      </c>
      <c r="C25" s="290"/>
      <c r="D25" s="289"/>
      <c r="E25" s="294"/>
      <c r="F25" s="289">
        <v>226</v>
      </c>
      <c r="G25" s="461">
        <v>43862</v>
      </c>
      <c r="H25" s="289"/>
      <c r="I25" s="45" t="s">
        <v>528</v>
      </c>
      <c r="J25" s="45" t="s">
        <v>32</v>
      </c>
      <c r="K25" s="45" t="s">
        <v>28</v>
      </c>
      <c r="L25" s="609" t="s">
        <v>51</v>
      </c>
      <c r="M25" s="606" t="s">
        <v>57</v>
      </c>
      <c r="N25" s="606" t="s">
        <v>35</v>
      </c>
      <c r="O25" s="289" t="s">
        <v>30</v>
      </c>
      <c r="P25" s="291">
        <f>20000+20000</f>
        <v>40000</v>
      </c>
      <c r="Q25" s="291">
        <f t="shared" si="2"/>
        <v>25000</v>
      </c>
      <c r="R25" s="291">
        <f t="shared" si="3"/>
        <v>10000</v>
      </c>
      <c r="S25" s="291">
        <f t="shared" si="4"/>
        <v>2500</v>
      </c>
      <c r="T25" s="291">
        <f t="shared" si="5"/>
        <v>2500</v>
      </c>
      <c r="U25" s="291">
        <f t="shared" si="6"/>
        <v>40000</v>
      </c>
      <c r="V25" s="291"/>
      <c r="W25" s="291"/>
      <c r="X25" s="291">
        <f>P25/$G$6*W25</f>
        <v>0</v>
      </c>
      <c r="Y25" s="699">
        <f>2-1</f>
        <v>1</v>
      </c>
      <c r="Z25" s="296">
        <f>P25/$G$6*Y25</f>
        <v>1904.7619047619048</v>
      </c>
      <c r="AA25" s="291">
        <f>P25/$G$6/9</f>
        <v>211.64021164021165</v>
      </c>
      <c r="AB25" s="292"/>
      <c r="AC25" s="291">
        <f t="shared" si="7"/>
        <v>0</v>
      </c>
      <c r="AD25" s="291">
        <f t="shared" si="8"/>
        <v>38095.238095238092</v>
      </c>
      <c r="AE25" s="291">
        <v>0</v>
      </c>
      <c r="AF25" s="291"/>
      <c r="AG25" s="291">
        <v>0</v>
      </c>
      <c r="AH25" s="291">
        <v>0</v>
      </c>
      <c r="AI25" s="291">
        <f t="shared" si="9"/>
        <v>38095.238095238092</v>
      </c>
      <c r="AJ25" s="45" t="s">
        <v>409</v>
      </c>
      <c r="AK25" s="539" t="s">
        <v>529</v>
      </c>
      <c r="AL25" s="294" t="s">
        <v>588</v>
      </c>
      <c r="AM25" s="45" t="s">
        <v>530</v>
      </c>
      <c r="AN25" s="293"/>
      <c r="AO25" s="293"/>
      <c r="AP25" s="293"/>
      <c r="AQ25" s="293">
        <f>AI25</f>
        <v>38095.238095238092</v>
      </c>
      <c r="AR25" s="293"/>
      <c r="AS25" s="293">
        <f t="shared" si="10"/>
        <v>38095.238095238092</v>
      </c>
      <c r="AT25" s="295"/>
      <c r="AU25" s="293">
        <f t="shared" si="11"/>
        <v>38095.238095238092</v>
      </c>
      <c r="AV25" s="598">
        <f t="shared" si="12"/>
        <v>0</v>
      </c>
      <c r="AW25" s="598"/>
      <c r="AX25" s="598"/>
      <c r="AY25" s="598"/>
      <c r="AZ25" s="598">
        <v>0</v>
      </c>
      <c r="BA25" s="598">
        <v>38095</v>
      </c>
      <c r="BB25" s="598"/>
      <c r="BC25" s="598"/>
      <c r="BD25" s="598">
        <f t="shared" si="13"/>
        <v>38095</v>
      </c>
      <c r="BE25" s="599">
        <f t="shared" si="14"/>
        <v>-0.23809523809177335</v>
      </c>
      <c r="BF25" s="600" t="s">
        <v>286</v>
      </c>
      <c r="BG25" s="601"/>
      <c r="BK25" s="690"/>
    </row>
    <row r="26" spans="1:63" s="44" customFormat="1" x14ac:dyDescent="0.3">
      <c r="A26" s="689"/>
      <c r="B26" s="570">
        <v>34</v>
      </c>
      <c r="C26" s="290">
        <v>43830</v>
      </c>
      <c r="D26" s="289">
        <v>9000</v>
      </c>
      <c r="E26" s="294">
        <f>ROUND(_xlfn.DAYS($E$1,C26)/30,0)</f>
        <v>4</v>
      </c>
      <c r="F26" s="289">
        <v>187</v>
      </c>
      <c r="G26" s="461">
        <v>43692</v>
      </c>
      <c r="H26" s="289" t="s">
        <v>69</v>
      </c>
      <c r="I26" s="45" t="s">
        <v>454</v>
      </c>
      <c r="J26" s="45" t="s">
        <v>32</v>
      </c>
      <c r="K26" s="45" t="s">
        <v>28</v>
      </c>
      <c r="L26" s="609" t="s">
        <v>51</v>
      </c>
      <c r="M26" s="606" t="s">
        <v>57</v>
      </c>
      <c r="N26" s="606" t="s">
        <v>35</v>
      </c>
      <c r="O26" s="289" t="s">
        <v>30</v>
      </c>
      <c r="P26" s="291">
        <f>36000+9000</f>
        <v>45000</v>
      </c>
      <c r="Q26" s="291">
        <f t="shared" si="2"/>
        <v>28125</v>
      </c>
      <c r="R26" s="291">
        <f t="shared" si="3"/>
        <v>11250</v>
      </c>
      <c r="S26" s="291">
        <f t="shared" si="4"/>
        <v>2812.5</v>
      </c>
      <c r="T26" s="291">
        <f t="shared" si="5"/>
        <v>2812.5</v>
      </c>
      <c r="U26" s="291">
        <f t="shared" si="6"/>
        <v>45000</v>
      </c>
      <c r="V26" s="291"/>
      <c r="W26" s="291"/>
      <c r="X26" s="291">
        <f>P26/$G$6*W26</f>
        <v>0</v>
      </c>
      <c r="Y26" s="291">
        <v>1</v>
      </c>
      <c r="Z26" s="296">
        <f>P26/$G$6*Y26</f>
        <v>2142.8571428571427</v>
      </c>
      <c r="AA26" s="291">
        <f>P26/$G$6/9</f>
        <v>238.09523809523807</v>
      </c>
      <c r="AB26" s="292">
        <f>17*0</f>
        <v>0</v>
      </c>
      <c r="AC26" s="291">
        <f t="shared" si="7"/>
        <v>0</v>
      </c>
      <c r="AD26" s="291">
        <f t="shared" si="8"/>
        <v>42857.142857142855</v>
      </c>
      <c r="AE26" s="291">
        <v>0</v>
      </c>
      <c r="AF26" s="291">
        <v>0</v>
      </c>
      <c r="AG26" s="291">
        <v>0</v>
      </c>
      <c r="AH26" s="291">
        <v>0</v>
      </c>
      <c r="AI26" s="291">
        <f t="shared" si="9"/>
        <v>42857.142857142855</v>
      </c>
      <c r="AJ26" s="45" t="s">
        <v>145</v>
      </c>
      <c r="AK26" s="45" t="s">
        <v>458</v>
      </c>
      <c r="AL26" s="294" t="s">
        <v>589</v>
      </c>
      <c r="AM26" s="45" t="s">
        <v>459</v>
      </c>
      <c r="AN26" s="293"/>
      <c r="AO26" s="293"/>
      <c r="AP26" s="293"/>
      <c r="AQ26" s="293">
        <f>AI26</f>
        <v>42857.142857142855</v>
      </c>
      <c r="AR26" s="293"/>
      <c r="AS26" s="293">
        <f t="shared" si="10"/>
        <v>42857.142857142855</v>
      </c>
      <c r="AT26" s="295"/>
      <c r="AU26" s="293">
        <f t="shared" si="11"/>
        <v>42857.142857142855</v>
      </c>
      <c r="AV26" s="598">
        <f t="shared" si="12"/>
        <v>0</v>
      </c>
      <c r="AW26" s="598"/>
      <c r="AX26" s="598"/>
      <c r="AY26" s="598"/>
      <c r="AZ26" s="598">
        <v>0</v>
      </c>
      <c r="BA26" s="598">
        <v>42857</v>
      </c>
      <c r="BB26" s="598"/>
      <c r="BC26" s="598"/>
      <c r="BD26" s="598">
        <f t="shared" si="13"/>
        <v>42857</v>
      </c>
      <c r="BE26" s="599">
        <f t="shared" si="14"/>
        <v>-0.14285714285506401</v>
      </c>
      <c r="BF26" s="600" t="s">
        <v>286</v>
      </c>
      <c r="BG26" s="601">
        <f>AF26/1*5</f>
        <v>0</v>
      </c>
      <c r="BK26" s="690"/>
    </row>
    <row r="27" spans="1:63" s="44" customFormat="1" ht="26.4" x14ac:dyDescent="0.3">
      <c r="A27" s="689"/>
      <c r="B27" s="570"/>
      <c r="C27" s="290"/>
      <c r="D27" s="289"/>
      <c r="E27" s="294"/>
      <c r="F27" s="289">
        <v>22</v>
      </c>
      <c r="G27" s="461">
        <v>43937</v>
      </c>
      <c r="H27" s="289"/>
      <c r="I27" s="45" t="s">
        <v>561</v>
      </c>
      <c r="J27" s="45" t="s">
        <v>147</v>
      </c>
      <c r="K27" s="45"/>
      <c r="L27" s="609"/>
      <c r="M27" s="608" t="s">
        <v>183</v>
      </c>
      <c r="N27" s="608" t="s">
        <v>183</v>
      </c>
      <c r="O27" s="289" t="s">
        <v>37</v>
      </c>
      <c r="P27" s="710">
        <v>100000</v>
      </c>
      <c r="Q27" s="291">
        <f t="shared" si="2"/>
        <v>62500</v>
      </c>
      <c r="R27" s="291">
        <f t="shared" si="3"/>
        <v>25000</v>
      </c>
      <c r="S27" s="291">
        <f t="shared" si="4"/>
        <v>6250</v>
      </c>
      <c r="T27" s="291">
        <f t="shared" si="5"/>
        <v>6250</v>
      </c>
      <c r="U27" s="291">
        <f t="shared" si="6"/>
        <v>100000</v>
      </c>
      <c r="V27" s="291"/>
      <c r="W27" s="291"/>
      <c r="X27" s="291">
        <f>P27/$G$6*W27</f>
        <v>0</v>
      </c>
      <c r="Y27" s="291">
        <v>6</v>
      </c>
      <c r="Z27" s="296">
        <f>P27/$G$6*Y27</f>
        <v>28571.428571428569</v>
      </c>
      <c r="AA27" s="291">
        <f>P27/$G$6/9</f>
        <v>529.100529100529</v>
      </c>
      <c r="AB27" s="292"/>
      <c r="AC27" s="291">
        <f t="shared" si="7"/>
        <v>0</v>
      </c>
      <c r="AD27" s="291">
        <f t="shared" si="8"/>
        <v>71428.571428571435</v>
      </c>
      <c r="AE27" s="291">
        <v>0</v>
      </c>
      <c r="AF27" s="291"/>
      <c r="AG27" s="291">
        <v>0</v>
      </c>
      <c r="AH27" s="291">
        <v>0</v>
      </c>
      <c r="AI27" s="291">
        <f t="shared" si="9"/>
        <v>71428.571428571435</v>
      </c>
      <c r="AJ27" s="45" t="s">
        <v>101</v>
      </c>
      <c r="AK27" s="539" t="s">
        <v>564</v>
      </c>
      <c r="AL27" s="294" t="s">
        <v>590</v>
      </c>
      <c r="AM27" s="45" t="s">
        <v>561</v>
      </c>
      <c r="AN27" s="293">
        <f>Master[[#This Row],[Net Pay]]</f>
        <v>71428.571428571435</v>
      </c>
      <c r="AO27" s="293"/>
      <c r="AP27" s="293"/>
      <c r="AQ27" s="293"/>
      <c r="AR27" s="293"/>
      <c r="AS27" s="293">
        <f t="shared" si="10"/>
        <v>71428.571428571435</v>
      </c>
      <c r="AT27" s="295"/>
      <c r="AU27" s="293">
        <f t="shared" si="11"/>
        <v>71428.571428571435</v>
      </c>
      <c r="AV27" s="598">
        <f t="shared" si="12"/>
        <v>0</v>
      </c>
      <c r="AW27" s="598"/>
      <c r="AX27" s="598"/>
      <c r="AY27" s="598"/>
      <c r="AZ27" s="598">
        <v>71429</v>
      </c>
      <c r="BA27" s="598">
        <v>0</v>
      </c>
      <c r="BB27" s="598"/>
      <c r="BC27" s="598"/>
      <c r="BD27" s="598">
        <f t="shared" si="13"/>
        <v>71429</v>
      </c>
      <c r="BE27" s="599">
        <f t="shared" si="14"/>
        <v>0.42857142856519204</v>
      </c>
      <c r="BF27" s="600" t="s">
        <v>286</v>
      </c>
      <c r="BG27" s="601">
        <f>AF27/1*5</f>
        <v>0</v>
      </c>
      <c r="BK27" s="690"/>
    </row>
    <row r="28" spans="1:63" s="44" customFormat="1" x14ac:dyDescent="0.3">
      <c r="A28" s="689"/>
      <c r="B28" s="570">
        <v>3</v>
      </c>
      <c r="C28" s="290"/>
      <c r="D28" s="289"/>
      <c r="E28" s="294"/>
      <c r="F28" s="289">
        <v>204</v>
      </c>
      <c r="G28" s="461">
        <v>43769</v>
      </c>
      <c r="H28" s="289" t="s">
        <v>268</v>
      </c>
      <c r="I28" s="45" t="s">
        <v>521</v>
      </c>
      <c r="J28" s="45" t="s">
        <v>50</v>
      </c>
      <c r="K28" s="45" t="s">
        <v>522</v>
      </c>
      <c r="L28" s="609" t="s">
        <v>441</v>
      </c>
      <c r="M28" s="606" t="s">
        <v>59</v>
      </c>
      <c r="N28" s="606" t="s">
        <v>59</v>
      </c>
      <c r="O28" s="289" t="s">
        <v>30</v>
      </c>
      <c r="P28" s="291">
        <v>45000</v>
      </c>
      <c r="Q28" s="291">
        <f t="shared" si="2"/>
        <v>28125</v>
      </c>
      <c r="R28" s="291">
        <f t="shared" si="3"/>
        <v>11250</v>
      </c>
      <c r="S28" s="291">
        <f t="shared" si="4"/>
        <v>2812.5</v>
      </c>
      <c r="T28" s="291">
        <f t="shared" si="5"/>
        <v>2812.5</v>
      </c>
      <c r="U28" s="291">
        <f t="shared" si="6"/>
        <v>45000</v>
      </c>
      <c r="V28" s="291"/>
      <c r="W28" s="291"/>
      <c r="X28" s="291">
        <f>P28/$G$3*W28</f>
        <v>0</v>
      </c>
      <c r="Y28" s="291">
        <v>0</v>
      </c>
      <c r="Z28" s="296">
        <f>P28/$G$3*Y28</f>
        <v>0</v>
      </c>
      <c r="AA28" s="291">
        <f>P28/$G$3/9</f>
        <v>263.15789473684208</v>
      </c>
      <c r="AB28" s="292"/>
      <c r="AC28" s="291">
        <f t="shared" si="7"/>
        <v>0</v>
      </c>
      <c r="AD28" s="291">
        <f t="shared" si="8"/>
        <v>45000</v>
      </c>
      <c r="AE28" s="291">
        <v>0</v>
      </c>
      <c r="AF28" s="291">
        <v>0</v>
      </c>
      <c r="AG28" s="688">
        <v>10000</v>
      </c>
      <c r="AH28" s="291">
        <v>0</v>
      </c>
      <c r="AI28" s="291">
        <f t="shared" si="9"/>
        <v>35000</v>
      </c>
      <c r="AJ28" s="45" t="s">
        <v>145</v>
      </c>
      <c r="AK28" s="45" t="s">
        <v>470</v>
      </c>
      <c r="AL28" s="294" t="s">
        <v>520</v>
      </c>
      <c r="AM28" s="45" t="s">
        <v>469</v>
      </c>
      <c r="AN28" s="293"/>
      <c r="AO28" s="293"/>
      <c r="AP28" s="293"/>
      <c r="AQ28" s="293">
        <f>AI28</f>
        <v>35000</v>
      </c>
      <c r="AR28" s="293"/>
      <c r="AS28" s="293">
        <f t="shared" si="10"/>
        <v>35000</v>
      </c>
      <c r="AT28" s="295"/>
      <c r="AU28" s="293">
        <f t="shared" si="11"/>
        <v>35000</v>
      </c>
      <c r="AV28" s="598">
        <f t="shared" si="12"/>
        <v>0</v>
      </c>
      <c r="AW28" s="598"/>
      <c r="AX28" s="598"/>
      <c r="AY28" s="598"/>
      <c r="AZ28" s="598">
        <v>0</v>
      </c>
      <c r="BA28" s="598">
        <v>35000</v>
      </c>
      <c r="BB28" s="598"/>
      <c r="BC28" s="598"/>
      <c r="BD28" s="598">
        <f t="shared" si="13"/>
        <v>35000</v>
      </c>
      <c r="BE28" s="599">
        <f t="shared" si="14"/>
        <v>0</v>
      </c>
      <c r="BF28" s="600" t="s">
        <v>285</v>
      </c>
      <c r="BG28" s="601">
        <f>AF28/1*5</f>
        <v>0</v>
      </c>
      <c r="BK28" s="690"/>
    </row>
    <row r="29" spans="1:63" s="44" customFormat="1" x14ac:dyDescent="0.3">
      <c r="A29" s="546"/>
      <c r="B29" s="570">
        <v>29</v>
      </c>
      <c r="C29" s="610">
        <v>43890</v>
      </c>
      <c r="D29" s="425">
        <v>15000</v>
      </c>
      <c r="E29" s="294">
        <f>ROUND(_xlfn.DAYS($E$1,C29)/30,0)</f>
        <v>2</v>
      </c>
      <c r="F29" s="425">
        <v>97</v>
      </c>
      <c r="G29" s="538">
        <v>43481</v>
      </c>
      <c r="H29" s="425" t="s">
        <v>69</v>
      </c>
      <c r="I29" s="72" t="s">
        <v>403</v>
      </c>
      <c r="J29" s="72" t="s">
        <v>32</v>
      </c>
      <c r="K29" s="72" t="s">
        <v>60</v>
      </c>
      <c r="L29" s="609" t="s">
        <v>443</v>
      </c>
      <c r="M29" s="607" t="s">
        <v>57</v>
      </c>
      <c r="N29" s="607" t="s">
        <v>29</v>
      </c>
      <c r="O29" s="425" t="s">
        <v>37</v>
      </c>
      <c r="P29" s="433">
        <f>15000+5000+5000+5000+15000</f>
        <v>45000</v>
      </c>
      <c r="Q29" s="433">
        <f t="shared" si="2"/>
        <v>28125</v>
      </c>
      <c r="R29" s="433">
        <f t="shared" si="3"/>
        <v>11250</v>
      </c>
      <c r="S29" s="433">
        <f t="shared" si="4"/>
        <v>2812.5</v>
      </c>
      <c r="T29" s="433">
        <f t="shared" si="5"/>
        <v>2812.5</v>
      </c>
      <c r="U29" s="433">
        <f t="shared" si="6"/>
        <v>45000</v>
      </c>
      <c r="V29" s="291"/>
      <c r="W29" s="291"/>
      <c r="X29" s="291">
        <f>P29/$G$4*W29</f>
        <v>0</v>
      </c>
      <c r="Y29" s="291">
        <v>0</v>
      </c>
      <c r="Z29" s="435">
        <f>P29/$G$4*Y29</f>
        <v>0</v>
      </c>
      <c r="AA29" s="433">
        <f>P29/$G$4/9</f>
        <v>250</v>
      </c>
      <c r="AB29" s="436"/>
      <c r="AC29" s="433">
        <f t="shared" si="7"/>
        <v>0</v>
      </c>
      <c r="AD29" s="433">
        <f t="shared" si="8"/>
        <v>45000</v>
      </c>
      <c r="AE29" s="433">
        <v>0</v>
      </c>
      <c r="AF29" s="433">
        <v>0</v>
      </c>
      <c r="AG29" s="433">
        <v>0</v>
      </c>
      <c r="AH29" s="433">
        <v>0</v>
      </c>
      <c r="AI29" s="433">
        <f t="shared" si="9"/>
        <v>45000</v>
      </c>
      <c r="AJ29" s="72" t="s">
        <v>101</v>
      </c>
      <c r="AK29" s="682" t="s">
        <v>513</v>
      </c>
      <c r="AL29" s="286" t="s">
        <v>591</v>
      </c>
      <c r="AM29" s="72" t="s">
        <v>410</v>
      </c>
      <c r="AN29" s="437">
        <f>AI29</f>
        <v>45000</v>
      </c>
      <c r="AO29" s="437"/>
      <c r="AP29" s="437"/>
      <c r="AQ29" s="437"/>
      <c r="AR29" s="437"/>
      <c r="AS29" s="437">
        <f t="shared" si="10"/>
        <v>45000</v>
      </c>
      <c r="AT29" s="295"/>
      <c r="AU29" s="437">
        <f t="shared" si="11"/>
        <v>45000</v>
      </c>
      <c r="AV29" s="684">
        <f t="shared" si="12"/>
        <v>0</v>
      </c>
      <c r="AW29" s="598"/>
      <c r="AX29" s="598"/>
      <c r="AY29" s="684"/>
      <c r="AZ29" s="598">
        <v>45000</v>
      </c>
      <c r="BA29" s="684">
        <v>0</v>
      </c>
      <c r="BB29" s="684"/>
      <c r="BC29" s="684"/>
      <c r="BD29" s="684">
        <f t="shared" si="13"/>
        <v>45000</v>
      </c>
      <c r="BE29" s="685">
        <f t="shared" si="14"/>
        <v>0</v>
      </c>
      <c r="BF29" s="686" t="s">
        <v>287</v>
      </c>
      <c r="BG29" s="687">
        <f>AF29/1*5</f>
        <v>0</v>
      </c>
      <c r="BK29" s="690"/>
    </row>
    <row r="30" spans="1:63" s="44" customFormat="1" x14ac:dyDescent="0.3">
      <c r="A30" s="689"/>
      <c r="B30" s="570">
        <v>8</v>
      </c>
      <c r="C30" s="290"/>
      <c r="D30" s="289"/>
      <c r="E30" s="294"/>
      <c r="F30" s="289">
        <v>223</v>
      </c>
      <c r="G30" s="461">
        <v>43866</v>
      </c>
      <c r="H30" s="289"/>
      <c r="I30" s="45" t="s">
        <v>524</v>
      </c>
      <c r="J30" s="45" t="s">
        <v>38</v>
      </c>
      <c r="K30" s="72"/>
      <c r="L30" s="609" t="s">
        <v>440</v>
      </c>
      <c r="M30" s="606" t="s">
        <v>59</v>
      </c>
      <c r="N30" s="606" t="s">
        <v>59</v>
      </c>
      <c r="O30" s="289" t="s">
        <v>30</v>
      </c>
      <c r="P30" s="291">
        <v>50000</v>
      </c>
      <c r="Q30" s="291">
        <f t="shared" si="2"/>
        <v>31250</v>
      </c>
      <c r="R30" s="291">
        <f t="shared" si="3"/>
        <v>12500</v>
      </c>
      <c r="S30" s="291">
        <f t="shared" si="4"/>
        <v>3125</v>
      </c>
      <c r="T30" s="291">
        <f t="shared" si="5"/>
        <v>3125</v>
      </c>
      <c r="U30" s="291">
        <f t="shared" si="6"/>
        <v>50000</v>
      </c>
      <c r="V30" s="291"/>
      <c r="W30" s="291"/>
      <c r="X30" s="291">
        <f>P30/$G$3*W30</f>
        <v>0</v>
      </c>
      <c r="Y30" s="699">
        <v>1</v>
      </c>
      <c r="Z30" s="435">
        <f>P30/$G$3*Y30</f>
        <v>2631.5789473684213</v>
      </c>
      <c r="AA30" s="433">
        <f>P30/$G$3/9</f>
        <v>292.39766081871346</v>
      </c>
      <c r="AB30" s="292"/>
      <c r="AC30" s="291">
        <f t="shared" si="7"/>
        <v>0</v>
      </c>
      <c r="AD30" s="291">
        <f t="shared" si="8"/>
        <v>47368.42105263158</v>
      </c>
      <c r="AE30" s="291">
        <v>0</v>
      </c>
      <c r="AF30" s="291"/>
      <c r="AG30" s="710"/>
      <c r="AH30" s="710">
        <v>5000</v>
      </c>
      <c r="AI30" s="291">
        <f t="shared" si="9"/>
        <v>42368.42105263158</v>
      </c>
      <c r="AJ30" s="45" t="s">
        <v>541</v>
      </c>
      <c r="AK30" s="45" t="s">
        <v>542</v>
      </c>
      <c r="AL30" s="294" t="s">
        <v>592</v>
      </c>
      <c r="AM30" s="45" t="s">
        <v>524</v>
      </c>
      <c r="AN30" s="293"/>
      <c r="AO30" s="293"/>
      <c r="AP30" s="293"/>
      <c r="AQ30" s="293">
        <f>AI30</f>
        <v>42368.42105263158</v>
      </c>
      <c r="AR30" s="293"/>
      <c r="AS30" s="293">
        <f t="shared" si="10"/>
        <v>42368.42105263158</v>
      </c>
      <c r="AT30" s="295"/>
      <c r="AU30" s="293">
        <f t="shared" si="11"/>
        <v>42368.42105263158</v>
      </c>
      <c r="AV30" s="598">
        <f t="shared" si="12"/>
        <v>0</v>
      </c>
      <c r="AW30" s="598"/>
      <c r="AX30" s="598"/>
      <c r="AY30" s="598"/>
      <c r="AZ30" s="598">
        <v>0</v>
      </c>
      <c r="BA30" s="598">
        <v>42368</v>
      </c>
      <c r="BB30" s="598"/>
      <c r="BC30" s="598"/>
      <c r="BD30" s="598">
        <f t="shared" si="13"/>
        <v>42368</v>
      </c>
      <c r="BE30" s="599">
        <f t="shared" si="14"/>
        <v>-0.4210526315800962</v>
      </c>
      <c r="BF30" s="600" t="s">
        <v>285</v>
      </c>
      <c r="BG30" s="601"/>
      <c r="BK30" s="690"/>
    </row>
    <row r="31" spans="1:63" s="44" customFormat="1" ht="26.4" x14ac:dyDescent="0.3">
      <c r="A31" s="689"/>
      <c r="B31" s="570"/>
      <c r="C31" s="290"/>
      <c r="D31" s="289"/>
      <c r="E31" s="294"/>
      <c r="F31" s="289">
        <v>164</v>
      </c>
      <c r="G31" s="461"/>
      <c r="H31" s="289"/>
      <c r="I31" s="45" t="s">
        <v>413</v>
      </c>
      <c r="J31" s="45" t="s">
        <v>38</v>
      </c>
      <c r="K31" s="45"/>
      <c r="L31" s="609" t="s">
        <v>440</v>
      </c>
      <c r="M31" s="606" t="s">
        <v>59</v>
      </c>
      <c r="N31" s="606" t="s">
        <v>59</v>
      </c>
      <c r="O31" s="289" t="s">
        <v>37</v>
      </c>
      <c r="P31" s="710">
        <v>50000</v>
      </c>
      <c r="Q31" s="291">
        <f t="shared" si="2"/>
        <v>31250</v>
      </c>
      <c r="R31" s="291">
        <f t="shared" si="3"/>
        <v>12500</v>
      </c>
      <c r="S31" s="291">
        <f t="shared" si="4"/>
        <v>3125</v>
      </c>
      <c r="T31" s="291">
        <f t="shared" si="5"/>
        <v>3125</v>
      </c>
      <c r="U31" s="291">
        <f t="shared" si="6"/>
        <v>50000</v>
      </c>
      <c r="V31" s="291"/>
      <c r="W31" s="291"/>
      <c r="X31" s="291">
        <f>P31/$G$3*W31</f>
        <v>0</v>
      </c>
      <c r="Y31" s="291">
        <v>16</v>
      </c>
      <c r="Z31" s="435">
        <f>P31/$G$3*Y31</f>
        <v>42105.26315789474</v>
      </c>
      <c r="AA31" s="433">
        <f>P31/$G$3/9</f>
        <v>292.39766081871346</v>
      </c>
      <c r="AB31" s="292"/>
      <c r="AC31" s="291">
        <f t="shared" si="7"/>
        <v>0</v>
      </c>
      <c r="AD31" s="291">
        <f t="shared" si="8"/>
        <v>7894.7368421052597</v>
      </c>
      <c r="AE31" s="291">
        <v>0</v>
      </c>
      <c r="AF31" s="291">
        <v>250</v>
      </c>
      <c r="AG31" s="291">
        <v>0</v>
      </c>
      <c r="AH31" s="291">
        <v>0</v>
      </c>
      <c r="AI31" s="291">
        <f t="shared" si="9"/>
        <v>7644.7368421052597</v>
      </c>
      <c r="AJ31" s="45" t="s">
        <v>101</v>
      </c>
      <c r="AK31" s="539" t="s">
        <v>565</v>
      </c>
      <c r="AL31" s="294" t="s">
        <v>593</v>
      </c>
      <c r="AM31" s="45" t="s">
        <v>413</v>
      </c>
      <c r="AN31" s="293">
        <f>Master[[#This Row],[Net Pay]]</f>
        <v>7644.7368421052597</v>
      </c>
      <c r="AO31" s="293"/>
      <c r="AP31" s="293"/>
      <c r="AQ31" s="293"/>
      <c r="AR31" s="293"/>
      <c r="AS31" s="293">
        <f t="shared" si="10"/>
        <v>7644.7368421052597</v>
      </c>
      <c r="AT31" s="295"/>
      <c r="AU31" s="293">
        <f t="shared" si="11"/>
        <v>7644.7368421052597</v>
      </c>
      <c r="AV31" s="598">
        <f t="shared" si="12"/>
        <v>0</v>
      </c>
      <c r="AW31" s="598"/>
      <c r="AX31" s="598"/>
      <c r="AY31" s="598"/>
      <c r="AZ31" s="598"/>
      <c r="BA31" s="598">
        <v>0</v>
      </c>
      <c r="BB31" s="598">
        <v>7645</v>
      </c>
      <c r="BC31" s="598"/>
      <c r="BD31" s="598">
        <f t="shared" si="13"/>
        <v>7645</v>
      </c>
      <c r="BE31" s="599">
        <f t="shared" si="14"/>
        <v>0.26315789474028861</v>
      </c>
      <c r="BF31" s="600" t="s">
        <v>285</v>
      </c>
      <c r="BG31" s="601">
        <f t="shared" ref="BG31:BG52" si="20">AF31/1*5</f>
        <v>1250</v>
      </c>
      <c r="BK31" s="690"/>
    </row>
    <row r="32" spans="1:63" s="44" customFormat="1" ht="26.4" x14ac:dyDescent="0.3">
      <c r="A32" s="689"/>
      <c r="B32" s="570">
        <v>20</v>
      </c>
      <c r="C32" s="290"/>
      <c r="D32" s="289"/>
      <c r="E32" s="294"/>
      <c r="F32" s="289">
        <v>149</v>
      </c>
      <c r="G32" s="461">
        <v>43622</v>
      </c>
      <c r="H32" s="289" t="s">
        <v>69</v>
      </c>
      <c r="I32" s="45" t="s">
        <v>430</v>
      </c>
      <c r="J32" s="696" t="s">
        <v>578</v>
      </c>
      <c r="K32" s="45" t="s">
        <v>435</v>
      </c>
      <c r="L32" s="609" t="s">
        <v>46</v>
      </c>
      <c r="M32" s="606" t="s">
        <v>57</v>
      </c>
      <c r="N32" s="606" t="s">
        <v>59</v>
      </c>
      <c r="O32" s="289" t="s">
        <v>30</v>
      </c>
      <c r="P32" s="291">
        <v>50000</v>
      </c>
      <c r="Q32" s="291">
        <f t="shared" si="2"/>
        <v>31250</v>
      </c>
      <c r="R32" s="291">
        <f t="shared" si="3"/>
        <v>12500</v>
      </c>
      <c r="S32" s="291">
        <f t="shared" si="4"/>
        <v>3125</v>
      </c>
      <c r="T32" s="291">
        <f t="shared" si="5"/>
        <v>3125</v>
      </c>
      <c r="U32" s="291">
        <f t="shared" si="6"/>
        <v>50000</v>
      </c>
      <c r="V32" s="291"/>
      <c r="W32" s="291"/>
      <c r="X32" s="291">
        <f>P32/$G$3*W32</f>
        <v>0</v>
      </c>
      <c r="Y32" s="291">
        <v>0</v>
      </c>
      <c r="Z32" s="435">
        <f>P32/$G$3*Y32</f>
        <v>0</v>
      </c>
      <c r="AA32" s="433">
        <f>P32/$G$3/9</f>
        <v>292.39766081871346</v>
      </c>
      <c r="AB32" s="292"/>
      <c r="AC32" s="291">
        <f t="shared" si="7"/>
        <v>0</v>
      </c>
      <c r="AD32" s="291">
        <f t="shared" si="8"/>
        <v>50000</v>
      </c>
      <c r="AE32" s="291">
        <v>0</v>
      </c>
      <c r="AF32" s="291">
        <v>0</v>
      </c>
      <c r="AG32" s="291">
        <v>0</v>
      </c>
      <c r="AH32" s="291">
        <v>0</v>
      </c>
      <c r="AI32" s="291">
        <f t="shared" si="9"/>
        <v>50000</v>
      </c>
      <c r="AJ32" s="45" t="s">
        <v>101</v>
      </c>
      <c r="AK32" s="45" t="s">
        <v>448</v>
      </c>
      <c r="AL32" s="294" t="s">
        <v>453</v>
      </c>
      <c r="AM32" s="45" t="s">
        <v>438</v>
      </c>
      <c r="AN32" s="293">
        <f>Master[[#This Row],[Net Pay]]</f>
        <v>50000</v>
      </c>
      <c r="AO32" s="293"/>
      <c r="AP32" s="293"/>
      <c r="AQ32" s="293"/>
      <c r="AR32" s="293"/>
      <c r="AS32" s="293">
        <f t="shared" si="10"/>
        <v>50000</v>
      </c>
      <c r="AT32" s="295"/>
      <c r="AU32" s="293">
        <f t="shared" si="11"/>
        <v>50000</v>
      </c>
      <c r="AV32" s="598">
        <f t="shared" si="12"/>
        <v>0</v>
      </c>
      <c r="AW32" s="598"/>
      <c r="AX32" s="598"/>
      <c r="AY32" s="598"/>
      <c r="AZ32" s="598">
        <v>50000</v>
      </c>
      <c r="BA32" s="598">
        <v>0</v>
      </c>
      <c r="BB32" s="598"/>
      <c r="BC32" s="598"/>
      <c r="BD32" s="598">
        <f t="shared" si="13"/>
        <v>50000</v>
      </c>
      <c r="BE32" s="599">
        <f t="shared" si="14"/>
        <v>0</v>
      </c>
      <c r="BF32" s="600" t="s">
        <v>285</v>
      </c>
      <c r="BG32" s="601">
        <f t="shared" si="20"/>
        <v>0</v>
      </c>
      <c r="BK32" s="690"/>
    </row>
    <row r="33" spans="1:63" s="44" customFormat="1" x14ac:dyDescent="0.3">
      <c r="A33" s="689"/>
      <c r="B33" s="570">
        <v>25</v>
      </c>
      <c r="C33" s="290">
        <v>43708</v>
      </c>
      <c r="D33" s="289">
        <v>15000</v>
      </c>
      <c r="E33" s="294">
        <f t="shared" ref="E33:E52" si="21">ROUND(_xlfn.DAYS($E$1,C33)/30,0)</f>
        <v>8</v>
      </c>
      <c r="F33" s="289">
        <v>113</v>
      </c>
      <c r="G33" s="461">
        <v>43109</v>
      </c>
      <c r="H33" s="289" t="s">
        <v>69</v>
      </c>
      <c r="I33" s="45" t="s">
        <v>157</v>
      </c>
      <c r="J33" s="45" t="s">
        <v>56</v>
      </c>
      <c r="K33" s="45" t="s">
        <v>34</v>
      </c>
      <c r="L33" s="609" t="s">
        <v>264</v>
      </c>
      <c r="M33" s="606" t="s">
        <v>57</v>
      </c>
      <c r="N33" s="606" t="s">
        <v>29</v>
      </c>
      <c r="O33" s="289" t="s">
        <v>37</v>
      </c>
      <c r="P33" s="291">
        <f>15000+5000+5000+10000+15000</f>
        <v>50000</v>
      </c>
      <c r="Q33" s="291">
        <f t="shared" si="2"/>
        <v>31250</v>
      </c>
      <c r="R33" s="291">
        <f t="shared" si="3"/>
        <v>12500</v>
      </c>
      <c r="S33" s="291">
        <f t="shared" si="4"/>
        <v>3125</v>
      </c>
      <c r="T33" s="291">
        <f t="shared" si="5"/>
        <v>3125</v>
      </c>
      <c r="U33" s="291">
        <f t="shared" si="6"/>
        <v>50000</v>
      </c>
      <c r="V33" s="291"/>
      <c r="W33" s="291"/>
      <c r="X33" s="291">
        <f>P33/$G$4*W33</f>
        <v>0</v>
      </c>
      <c r="Y33" s="291">
        <v>0</v>
      </c>
      <c r="Z33" s="435">
        <f>P33/$G$4*Y33</f>
        <v>0</v>
      </c>
      <c r="AA33" s="433">
        <f>P33/$G$4/9</f>
        <v>277.77777777777777</v>
      </c>
      <c r="AB33" s="292"/>
      <c r="AC33" s="291">
        <f t="shared" si="7"/>
        <v>0</v>
      </c>
      <c r="AD33" s="291">
        <f t="shared" si="8"/>
        <v>50000</v>
      </c>
      <c r="AE33" s="291">
        <v>0</v>
      </c>
      <c r="AF33" s="291">
        <v>0</v>
      </c>
      <c r="AG33" s="291">
        <v>0</v>
      </c>
      <c r="AH33" s="291">
        <v>0</v>
      </c>
      <c r="AI33" s="291">
        <f t="shared" si="9"/>
        <v>50000</v>
      </c>
      <c r="AJ33" s="45" t="s">
        <v>101</v>
      </c>
      <c r="AK33" s="45" t="s">
        <v>289</v>
      </c>
      <c r="AL33" s="294" t="s">
        <v>251</v>
      </c>
      <c r="AM33" s="45" t="s">
        <v>288</v>
      </c>
      <c r="AN33" s="293">
        <f t="shared" ref="AN33:AN38" si="22">AI33</f>
        <v>50000</v>
      </c>
      <c r="AO33" s="293"/>
      <c r="AP33" s="293"/>
      <c r="AQ33" s="293"/>
      <c r="AR33" s="293"/>
      <c r="AS33" s="293">
        <f t="shared" si="10"/>
        <v>50000</v>
      </c>
      <c r="AT33" s="295"/>
      <c r="AU33" s="293">
        <f t="shared" si="11"/>
        <v>50000</v>
      </c>
      <c r="AV33" s="598">
        <f t="shared" si="12"/>
        <v>0</v>
      </c>
      <c r="AW33" s="598"/>
      <c r="AX33" s="598"/>
      <c r="AY33" s="598"/>
      <c r="AZ33" s="598">
        <v>50000</v>
      </c>
      <c r="BA33" s="598">
        <v>0</v>
      </c>
      <c r="BB33" s="598"/>
      <c r="BC33" s="598"/>
      <c r="BD33" s="598">
        <f t="shared" si="13"/>
        <v>50000</v>
      </c>
      <c r="BE33" s="599">
        <f t="shared" si="14"/>
        <v>0</v>
      </c>
      <c r="BF33" s="600" t="s">
        <v>287</v>
      </c>
      <c r="BG33" s="601">
        <f t="shared" si="20"/>
        <v>0</v>
      </c>
      <c r="BK33" s="690"/>
    </row>
    <row r="34" spans="1:63" s="44" customFormat="1" x14ac:dyDescent="0.3">
      <c r="A34" s="689"/>
      <c r="B34" s="570">
        <v>33</v>
      </c>
      <c r="C34" s="290">
        <v>43708</v>
      </c>
      <c r="D34" s="289">
        <v>10000</v>
      </c>
      <c r="E34" s="294">
        <f t="shared" si="21"/>
        <v>8</v>
      </c>
      <c r="F34" s="289">
        <v>155</v>
      </c>
      <c r="G34" s="461">
        <v>43207</v>
      </c>
      <c r="H34" s="289" t="s">
        <v>69</v>
      </c>
      <c r="I34" s="45" t="s">
        <v>199</v>
      </c>
      <c r="J34" s="45" t="s">
        <v>32</v>
      </c>
      <c r="K34" s="45" t="s">
        <v>28</v>
      </c>
      <c r="L34" s="609" t="s">
        <v>51</v>
      </c>
      <c r="M34" s="606" t="s">
        <v>57</v>
      </c>
      <c r="N34" s="606" t="s">
        <v>35</v>
      </c>
      <c r="O34" s="289" t="s">
        <v>37</v>
      </c>
      <c r="P34" s="291">
        <f>40000+10000</f>
        <v>50000</v>
      </c>
      <c r="Q34" s="291">
        <f t="shared" si="2"/>
        <v>31250</v>
      </c>
      <c r="R34" s="291">
        <f t="shared" si="3"/>
        <v>12500</v>
      </c>
      <c r="S34" s="291">
        <f t="shared" si="4"/>
        <v>3125</v>
      </c>
      <c r="T34" s="291">
        <f t="shared" si="5"/>
        <v>3125</v>
      </c>
      <c r="U34" s="291">
        <f t="shared" si="6"/>
        <v>50000</v>
      </c>
      <c r="V34" s="291"/>
      <c r="W34" s="291"/>
      <c r="X34" s="291">
        <f>P34/$G$6*W34</f>
        <v>0</v>
      </c>
      <c r="Y34" s="291">
        <v>0</v>
      </c>
      <c r="Z34" s="435">
        <f>P34/$G$6*Y34</f>
        <v>0</v>
      </c>
      <c r="AA34" s="433">
        <f>P34/$G$6/9</f>
        <v>264.5502645502645</v>
      </c>
      <c r="AB34" s="292"/>
      <c r="AC34" s="291">
        <f t="shared" si="7"/>
        <v>0</v>
      </c>
      <c r="AD34" s="291">
        <f t="shared" si="8"/>
        <v>50000</v>
      </c>
      <c r="AE34" s="291">
        <v>0</v>
      </c>
      <c r="AF34" s="291">
        <v>0</v>
      </c>
      <c r="AG34" s="291">
        <v>0</v>
      </c>
      <c r="AH34" s="291">
        <v>0</v>
      </c>
      <c r="AI34" s="291">
        <f t="shared" si="9"/>
        <v>50000</v>
      </c>
      <c r="AJ34" s="45" t="s">
        <v>101</v>
      </c>
      <c r="AK34" s="45" t="s">
        <v>408</v>
      </c>
      <c r="AL34" s="294" t="s">
        <v>262</v>
      </c>
      <c r="AM34" s="45" t="s">
        <v>427</v>
      </c>
      <c r="AN34" s="293">
        <f t="shared" si="22"/>
        <v>50000</v>
      </c>
      <c r="AO34" s="293"/>
      <c r="AP34" s="293"/>
      <c r="AQ34" s="293"/>
      <c r="AR34" s="293"/>
      <c r="AS34" s="293">
        <f t="shared" si="10"/>
        <v>50000</v>
      </c>
      <c r="AT34" s="295"/>
      <c r="AU34" s="293">
        <f t="shared" si="11"/>
        <v>50000</v>
      </c>
      <c r="AV34" s="598">
        <f t="shared" si="12"/>
        <v>0</v>
      </c>
      <c r="AW34" s="598"/>
      <c r="AX34" s="598"/>
      <c r="AY34" s="598"/>
      <c r="AZ34" s="598">
        <v>50000</v>
      </c>
      <c r="BA34" s="598">
        <v>0</v>
      </c>
      <c r="BB34" s="598"/>
      <c r="BC34" s="598"/>
      <c r="BD34" s="598">
        <f t="shared" si="13"/>
        <v>50000</v>
      </c>
      <c r="BE34" s="599">
        <f t="shared" si="14"/>
        <v>0</v>
      </c>
      <c r="BF34" s="600" t="s">
        <v>286</v>
      </c>
      <c r="BG34" s="601">
        <f t="shared" si="20"/>
        <v>0</v>
      </c>
      <c r="BK34" s="690"/>
    </row>
    <row r="35" spans="1:63" s="44" customFormat="1" x14ac:dyDescent="0.3">
      <c r="A35" s="689"/>
      <c r="B35" s="570">
        <v>39</v>
      </c>
      <c r="C35" s="290">
        <v>43830</v>
      </c>
      <c r="D35" s="289">
        <v>15000</v>
      </c>
      <c r="E35" s="294">
        <f t="shared" si="21"/>
        <v>4</v>
      </c>
      <c r="F35" s="289">
        <v>150</v>
      </c>
      <c r="G35" s="461">
        <v>43186</v>
      </c>
      <c r="H35" s="289" t="s">
        <v>69</v>
      </c>
      <c r="I35" s="45" t="s">
        <v>197</v>
      </c>
      <c r="J35" s="45" t="s">
        <v>56</v>
      </c>
      <c r="K35" s="45" t="s">
        <v>533</v>
      </c>
      <c r="L35" s="609" t="s">
        <v>31</v>
      </c>
      <c r="M35" s="606" t="s">
        <v>57</v>
      </c>
      <c r="N35" s="606" t="s">
        <v>35</v>
      </c>
      <c r="O35" s="289" t="s">
        <v>37</v>
      </c>
      <c r="P35" s="291">
        <f>15000+10000+10000+15000</f>
        <v>50000</v>
      </c>
      <c r="Q35" s="291">
        <f t="shared" si="2"/>
        <v>31250</v>
      </c>
      <c r="R35" s="291">
        <f t="shared" si="3"/>
        <v>12500</v>
      </c>
      <c r="S35" s="291">
        <f t="shared" si="4"/>
        <v>3125</v>
      </c>
      <c r="T35" s="291">
        <f t="shared" si="5"/>
        <v>3125</v>
      </c>
      <c r="U35" s="291">
        <f t="shared" si="6"/>
        <v>50000</v>
      </c>
      <c r="V35" s="291"/>
      <c r="W35" s="291"/>
      <c r="X35" s="291">
        <f>P35/$G$4*W35</f>
        <v>0</v>
      </c>
      <c r="Y35" s="291">
        <v>0</v>
      </c>
      <c r="Z35" s="296">
        <f>P35/$G$4*Y35</f>
        <v>0</v>
      </c>
      <c r="AA35" s="291">
        <f>P35/$G$4/9</f>
        <v>277.77777777777777</v>
      </c>
      <c r="AB35" s="292"/>
      <c r="AC35" s="291">
        <f t="shared" si="7"/>
        <v>0</v>
      </c>
      <c r="AD35" s="291">
        <f t="shared" si="8"/>
        <v>50000</v>
      </c>
      <c r="AE35" s="291">
        <v>0</v>
      </c>
      <c r="AF35" s="291">
        <v>0</v>
      </c>
      <c r="AG35" s="291">
        <v>0</v>
      </c>
      <c r="AH35" s="291">
        <v>0</v>
      </c>
      <c r="AI35" s="291">
        <f t="shared" si="9"/>
        <v>50000</v>
      </c>
      <c r="AJ35" s="45" t="s">
        <v>101</v>
      </c>
      <c r="AK35" s="45" t="s">
        <v>290</v>
      </c>
      <c r="AL35" s="294" t="s">
        <v>253</v>
      </c>
      <c r="AM35" s="45" t="s">
        <v>291</v>
      </c>
      <c r="AN35" s="293">
        <f t="shared" si="22"/>
        <v>50000</v>
      </c>
      <c r="AO35" s="293"/>
      <c r="AP35" s="293"/>
      <c r="AQ35" s="293"/>
      <c r="AR35" s="293"/>
      <c r="AS35" s="293">
        <f t="shared" si="10"/>
        <v>50000</v>
      </c>
      <c r="AT35" s="295"/>
      <c r="AU35" s="293">
        <f t="shared" si="11"/>
        <v>50000</v>
      </c>
      <c r="AV35" s="598">
        <f t="shared" si="12"/>
        <v>0</v>
      </c>
      <c r="AW35" s="598"/>
      <c r="AX35" s="598"/>
      <c r="AY35" s="598"/>
      <c r="AZ35" s="598">
        <v>50000</v>
      </c>
      <c r="BA35" s="598">
        <v>0</v>
      </c>
      <c r="BB35" s="598"/>
      <c r="BC35" s="598"/>
      <c r="BD35" s="598">
        <f t="shared" si="13"/>
        <v>50000</v>
      </c>
      <c r="BE35" s="599">
        <f t="shared" si="14"/>
        <v>0</v>
      </c>
      <c r="BF35" s="600" t="s">
        <v>287</v>
      </c>
      <c r="BG35" s="601">
        <f t="shared" si="20"/>
        <v>0</v>
      </c>
      <c r="BK35" s="690"/>
    </row>
    <row r="36" spans="1:63" s="44" customFormat="1" x14ac:dyDescent="0.3">
      <c r="A36" s="689"/>
      <c r="B36" s="570">
        <v>19</v>
      </c>
      <c r="C36" s="290">
        <v>43646</v>
      </c>
      <c r="D36" s="289">
        <v>20000</v>
      </c>
      <c r="E36" s="294">
        <f t="shared" si="21"/>
        <v>10</v>
      </c>
      <c r="F36" s="289">
        <v>26</v>
      </c>
      <c r="G36" s="461">
        <v>42601</v>
      </c>
      <c r="H36" s="289" t="s">
        <v>69</v>
      </c>
      <c r="I36" s="45" t="s">
        <v>44</v>
      </c>
      <c r="J36" s="45" t="s">
        <v>40</v>
      </c>
      <c r="K36" s="45" t="s">
        <v>60</v>
      </c>
      <c r="L36" s="609" t="s">
        <v>46</v>
      </c>
      <c r="M36" s="606" t="s">
        <v>57</v>
      </c>
      <c r="N36" s="606" t="s">
        <v>59</v>
      </c>
      <c r="O36" s="289" t="s">
        <v>37</v>
      </c>
      <c r="P36" s="291">
        <v>60000</v>
      </c>
      <c r="Q36" s="291">
        <f t="shared" si="2"/>
        <v>37500</v>
      </c>
      <c r="R36" s="291">
        <f t="shared" si="3"/>
        <v>15000</v>
      </c>
      <c r="S36" s="291">
        <f t="shared" si="4"/>
        <v>3750</v>
      </c>
      <c r="T36" s="291">
        <f t="shared" si="5"/>
        <v>3750</v>
      </c>
      <c r="U36" s="291">
        <f t="shared" si="6"/>
        <v>60000</v>
      </c>
      <c r="V36" s="291"/>
      <c r="W36" s="291"/>
      <c r="X36" s="291">
        <f>P36/$G$3*W36</f>
        <v>0</v>
      </c>
      <c r="Y36" s="291">
        <v>0</v>
      </c>
      <c r="Z36" s="296">
        <f>P36/$G$3*Y36</f>
        <v>0</v>
      </c>
      <c r="AA36" s="291">
        <f>P36/$G$3/9</f>
        <v>350.87719298245617</v>
      </c>
      <c r="AB36" s="292"/>
      <c r="AC36" s="291">
        <f t="shared" si="7"/>
        <v>0</v>
      </c>
      <c r="AD36" s="291">
        <f t="shared" si="8"/>
        <v>60000</v>
      </c>
      <c r="AE36" s="291">
        <v>0</v>
      </c>
      <c r="AF36" s="291">
        <v>0</v>
      </c>
      <c r="AG36" s="291">
        <v>0</v>
      </c>
      <c r="AH36" s="291">
        <v>5000</v>
      </c>
      <c r="AI36" s="291">
        <f t="shared" si="9"/>
        <v>55000</v>
      </c>
      <c r="AJ36" s="45" t="s">
        <v>101</v>
      </c>
      <c r="AK36" s="45" t="s">
        <v>449</v>
      </c>
      <c r="AL36" s="294" t="s">
        <v>437</v>
      </c>
      <c r="AM36" s="45" t="s">
        <v>444</v>
      </c>
      <c r="AN36" s="293">
        <f t="shared" si="22"/>
        <v>55000</v>
      </c>
      <c r="AO36" s="293"/>
      <c r="AP36" s="293"/>
      <c r="AQ36" s="293"/>
      <c r="AR36" s="293"/>
      <c r="AS36" s="293">
        <f t="shared" si="10"/>
        <v>55000</v>
      </c>
      <c r="AT36" s="295"/>
      <c r="AU36" s="293">
        <f t="shared" si="11"/>
        <v>55000</v>
      </c>
      <c r="AV36" s="598">
        <f t="shared" si="12"/>
        <v>0</v>
      </c>
      <c r="AW36" s="598"/>
      <c r="AX36" s="598"/>
      <c r="AY36" s="598"/>
      <c r="AZ36" s="598">
        <v>55000</v>
      </c>
      <c r="BA36" s="598">
        <v>0</v>
      </c>
      <c r="BB36" s="598"/>
      <c r="BC36" s="598"/>
      <c r="BD36" s="598">
        <f t="shared" si="13"/>
        <v>55000</v>
      </c>
      <c r="BE36" s="599">
        <f t="shared" si="14"/>
        <v>0</v>
      </c>
      <c r="BF36" s="600" t="s">
        <v>285</v>
      </c>
      <c r="BG36" s="601">
        <f t="shared" si="20"/>
        <v>0</v>
      </c>
      <c r="BK36" s="690"/>
    </row>
    <row r="37" spans="1:63" s="44" customFormat="1" x14ac:dyDescent="0.3">
      <c r="A37" s="689"/>
      <c r="B37" s="570">
        <v>38</v>
      </c>
      <c r="C37" s="290">
        <v>43830</v>
      </c>
      <c r="D37" s="289">
        <v>15000</v>
      </c>
      <c r="E37" s="294">
        <f t="shared" si="21"/>
        <v>4</v>
      </c>
      <c r="F37" s="289">
        <v>8</v>
      </c>
      <c r="G37" s="461">
        <v>42308</v>
      </c>
      <c r="H37" s="289" t="s">
        <v>69</v>
      </c>
      <c r="I37" s="45" t="s">
        <v>75</v>
      </c>
      <c r="J37" s="45" t="s">
        <v>56</v>
      </c>
      <c r="K37" s="45" t="s">
        <v>533</v>
      </c>
      <c r="L37" s="609" t="s">
        <v>31</v>
      </c>
      <c r="M37" s="606" t="s">
        <v>57</v>
      </c>
      <c r="N37" s="606" t="s">
        <v>277</v>
      </c>
      <c r="O37" s="289" t="s">
        <v>37</v>
      </c>
      <c r="P37" s="291">
        <f>50000+15000</f>
        <v>65000</v>
      </c>
      <c r="Q37" s="291">
        <f t="shared" si="2"/>
        <v>40625</v>
      </c>
      <c r="R37" s="291">
        <f t="shared" si="3"/>
        <v>16250</v>
      </c>
      <c r="S37" s="291">
        <f t="shared" si="4"/>
        <v>4062.5</v>
      </c>
      <c r="T37" s="291">
        <f t="shared" si="5"/>
        <v>4062.5</v>
      </c>
      <c r="U37" s="291">
        <f t="shared" si="6"/>
        <v>65000</v>
      </c>
      <c r="V37" s="291"/>
      <c r="W37" s="291"/>
      <c r="X37" s="291">
        <f>P37/$G$4*W37</f>
        <v>0</v>
      </c>
      <c r="Y37" s="291">
        <v>0</v>
      </c>
      <c r="Z37" s="296">
        <f>P37/$G$4*Y37</f>
        <v>0</v>
      </c>
      <c r="AA37" s="291">
        <f>P37/$G$4/9</f>
        <v>361.11111111111109</v>
      </c>
      <c r="AB37" s="292"/>
      <c r="AC37" s="291">
        <f t="shared" si="7"/>
        <v>0</v>
      </c>
      <c r="AD37" s="291">
        <f t="shared" si="8"/>
        <v>65000</v>
      </c>
      <c r="AE37" s="291">
        <v>0</v>
      </c>
      <c r="AF37" s="291">
        <v>250</v>
      </c>
      <c r="AG37" s="291">
        <v>0</v>
      </c>
      <c r="AH37" s="291">
        <v>0</v>
      </c>
      <c r="AI37" s="291">
        <f t="shared" si="9"/>
        <v>64750</v>
      </c>
      <c r="AJ37" s="45" t="s">
        <v>101</v>
      </c>
      <c r="AK37" s="45" t="s">
        <v>167</v>
      </c>
      <c r="AL37" s="294" t="s">
        <v>256</v>
      </c>
      <c r="AM37" s="45" t="s">
        <v>428</v>
      </c>
      <c r="AN37" s="293">
        <f t="shared" si="22"/>
        <v>64750</v>
      </c>
      <c r="AO37" s="293"/>
      <c r="AP37" s="293"/>
      <c r="AQ37" s="293"/>
      <c r="AR37" s="293"/>
      <c r="AS37" s="293">
        <f t="shared" si="10"/>
        <v>64750</v>
      </c>
      <c r="AT37" s="295"/>
      <c r="AU37" s="293">
        <f t="shared" si="11"/>
        <v>64750</v>
      </c>
      <c r="AV37" s="598">
        <f t="shared" si="12"/>
        <v>0</v>
      </c>
      <c r="AW37" s="598"/>
      <c r="AX37" s="598"/>
      <c r="AY37" s="598"/>
      <c r="AZ37" s="598">
        <v>64750</v>
      </c>
      <c r="BA37" s="598">
        <v>0</v>
      </c>
      <c r="BB37" s="598"/>
      <c r="BC37" s="598"/>
      <c r="BD37" s="598">
        <f t="shared" si="13"/>
        <v>64750</v>
      </c>
      <c r="BE37" s="599">
        <f t="shared" si="14"/>
        <v>0</v>
      </c>
      <c r="BF37" s="600" t="s">
        <v>287</v>
      </c>
      <c r="BG37" s="601">
        <f t="shared" si="20"/>
        <v>1250</v>
      </c>
      <c r="BK37" s="690"/>
    </row>
    <row r="38" spans="1:63" s="44" customFormat="1" x14ac:dyDescent="0.3">
      <c r="A38" s="689"/>
      <c r="B38" s="570">
        <v>28</v>
      </c>
      <c r="C38" s="290">
        <v>43616</v>
      </c>
      <c r="D38" s="289">
        <v>35000</v>
      </c>
      <c r="E38" s="294">
        <f t="shared" si="21"/>
        <v>11</v>
      </c>
      <c r="F38" s="289">
        <v>107</v>
      </c>
      <c r="G38" s="461">
        <v>43508</v>
      </c>
      <c r="H38" s="289" t="s">
        <v>69</v>
      </c>
      <c r="I38" s="45" t="s">
        <v>411</v>
      </c>
      <c r="J38" s="45" t="s">
        <v>32</v>
      </c>
      <c r="K38" s="45" t="s">
        <v>28</v>
      </c>
      <c r="L38" s="609" t="s">
        <v>440</v>
      </c>
      <c r="M38" s="606" t="s">
        <v>57</v>
      </c>
      <c r="N38" s="606" t="s">
        <v>29</v>
      </c>
      <c r="O38" s="289" t="s">
        <v>37</v>
      </c>
      <c r="P38" s="291">
        <f>70000-35000+35000</f>
        <v>70000</v>
      </c>
      <c r="Q38" s="291">
        <f t="shared" si="2"/>
        <v>43750</v>
      </c>
      <c r="R38" s="291">
        <f t="shared" si="3"/>
        <v>17500</v>
      </c>
      <c r="S38" s="291">
        <f t="shared" si="4"/>
        <v>4375</v>
      </c>
      <c r="T38" s="291">
        <f t="shared" si="5"/>
        <v>4375</v>
      </c>
      <c r="U38" s="291">
        <f t="shared" si="6"/>
        <v>70000</v>
      </c>
      <c r="V38" s="291"/>
      <c r="W38" s="291"/>
      <c r="X38" s="291">
        <f>P38/$G$4*W38</f>
        <v>0</v>
      </c>
      <c r="Y38" s="291">
        <v>0</v>
      </c>
      <c r="Z38" s="296">
        <f>P38/$G$4*Y38</f>
        <v>0</v>
      </c>
      <c r="AA38" s="291">
        <f>P38/$G$4/9</f>
        <v>388.88888888888891</v>
      </c>
      <c r="AB38" s="292"/>
      <c r="AC38" s="291">
        <f t="shared" si="7"/>
        <v>0</v>
      </c>
      <c r="AD38" s="291">
        <f t="shared" si="8"/>
        <v>70000</v>
      </c>
      <c r="AE38" s="710">
        <v>241.2</v>
      </c>
      <c r="AF38" s="291">
        <v>0</v>
      </c>
      <c r="AG38" s="291">
        <v>0</v>
      </c>
      <c r="AH38" s="291">
        <v>0</v>
      </c>
      <c r="AI38" s="291">
        <f t="shared" si="9"/>
        <v>69758.8</v>
      </c>
      <c r="AJ38" s="45" t="s">
        <v>101</v>
      </c>
      <c r="AK38" s="539" t="s">
        <v>565</v>
      </c>
      <c r="AL38" s="294" t="s">
        <v>523</v>
      </c>
      <c r="AM38" s="45" t="s">
        <v>413</v>
      </c>
      <c r="AN38" s="293">
        <f t="shared" si="22"/>
        <v>69758.8</v>
      </c>
      <c r="AO38" s="293"/>
      <c r="AP38" s="293"/>
      <c r="AQ38" s="293"/>
      <c r="AR38" s="293"/>
      <c r="AS38" s="293">
        <f t="shared" si="10"/>
        <v>69758.8</v>
      </c>
      <c r="AT38" s="295"/>
      <c r="AU38" s="293">
        <f t="shared" si="11"/>
        <v>69758.8</v>
      </c>
      <c r="AV38" s="598">
        <f t="shared" si="12"/>
        <v>0</v>
      </c>
      <c r="AW38" s="598"/>
      <c r="AX38" s="598"/>
      <c r="AY38" s="598"/>
      <c r="AZ38" s="598">
        <v>69759</v>
      </c>
      <c r="BA38" s="598">
        <v>0</v>
      </c>
      <c r="BB38" s="598"/>
      <c r="BC38" s="598"/>
      <c r="BD38" s="598">
        <f t="shared" si="13"/>
        <v>69759</v>
      </c>
      <c r="BE38" s="599">
        <f t="shared" si="14"/>
        <v>0.19999999999708962</v>
      </c>
      <c r="BF38" s="600" t="s">
        <v>287</v>
      </c>
      <c r="BG38" s="601">
        <f t="shared" si="20"/>
        <v>0</v>
      </c>
      <c r="BK38" s="690"/>
    </row>
    <row r="39" spans="1:63" s="44" customFormat="1" x14ac:dyDescent="0.3">
      <c r="A39" s="689"/>
      <c r="B39" s="570">
        <v>9</v>
      </c>
      <c r="C39" s="290">
        <v>43861</v>
      </c>
      <c r="D39" s="289">
        <v>15000</v>
      </c>
      <c r="E39" s="294">
        <f t="shared" si="21"/>
        <v>3</v>
      </c>
      <c r="F39" s="289">
        <v>135</v>
      </c>
      <c r="G39" s="461">
        <v>43524</v>
      </c>
      <c r="H39" s="289" t="s">
        <v>69</v>
      </c>
      <c r="I39" s="45" t="s">
        <v>418</v>
      </c>
      <c r="J39" s="45" t="s">
        <v>39</v>
      </c>
      <c r="K39" s="45" t="s">
        <v>417</v>
      </c>
      <c r="L39" s="609" t="s">
        <v>440</v>
      </c>
      <c r="M39" s="606" t="s">
        <v>59</v>
      </c>
      <c r="N39" s="606" t="s">
        <v>59</v>
      </c>
      <c r="O39" s="289" t="s">
        <v>37</v>
      </c>
      <c r="P39" s="291">
        <f>50000+15000+15000</f>
        <v>80000</v>
      </c>
      <c r="Q39" s="291">
        <f t="shared" si="2"/>
        <v>50000</v>
      </c>
      <c r="R39" s="291">
        <f t="shared" si="3"/>
        <v>20000</v>
      </c>
      <c r="S39" s="291">
        <f t="shared" si="4"/>
        <v>5000</v>
      </c>
      <c r="T39" s="291">
        <f t="shared" si="5"/>
        <v>5000</v>
      </c>
      <c r="U39" s="291">
        <f t="shared" si="6"/>
        <v>80000</v>
      </c>
      <c r="V39" s="291"/>
      <c r="W39" s="291"/>
      <c r="X39" s="291">
        <f>P39/$G$3*W39</f>
        <v>0</v>
      </c>
      <c r="Y39" s="291">
        <v>0</v>
      </c>
      <c r="Z39" s="296">
        <f>P39/$G$3*Y39</f>
        <v>0</v>
      </c>
      <c r="AA39" s="291">
        <f>P39/$G$3/9</f>
        <v>467.83625730994146</v>
      </c>
      <c r="AB39" s="292"/>
      <c r="AC39" s="291">
        <f t="shared" si="7"/>
        <v>0</v>
      </c>
      <c r="AD39" s="291">
        <f t="shared" si="8"/>
        <v>80000</v>
      </c>
      <c r="AE39" s="710">
        <v>467.8</v>
      </c>
      <c r="AF39" s="291">
        <v>0</v>
      </c>
      <c r="AG39" s="291">
        <v>0</v>
      </c>
      <c r="AH39" s="291">
        <v>0</v>
      </c>
      <c r="AI39" s="291">
        <f t="shared" si="9"/>
        <v>79532.2</v>
      </c>
      <c r="AJ39" s="45" t="s">
        <v>145</v>
      </c>
      <c r="AK39" s="45" t="s">
        <v>419</v>
      </c>
      <c r="AL39" s="294" t="s">
        <v>461</v>
      </c>
      <c r="AM39" s="45" t="s">
        <v>418</v>
      </c>
      <c r="AN39" s="293"/>
      <c r="AO39" s="293"/>
      <c r="AP39" s="293"/>
      <c r="AQ39" s="293">
        <f>AI39</f>
        <v>79532.2</v>
      </c>
      <c r="AR39" s="293"/>
      <c r="AS39" s="293">
        <f t="shared" si="10"/>
        <v>79532.2</v>
      </c>
      <c r="AT39" s="295"/>
      <c r="AU39" s="293">
        <f t="shared" si="11"/>
        <v>79532.2</v>
      </c>
      <c r="AV39" s="598">
        <f t="shared" si="12"/>
        <v>0</v>
      </c>
      <c r="AW39" s="598"/>
      <c r="AX39" s="598"/>
      <c r="AY39" s="598"/>
      <c r="AZ39" s="598">
        <v>0</v>
      </c>
      <c r="BA39" s="598">
        <v>79532</v>
      </c>
      <c r="BB39" s="598"/>
      <c r="BC39" s="598"/>
      <c r="BD39" s="598">
        <f t="shared" si="13"/>
        <v>79532</v>
      </c>
      <c r="BE39" s="599">
        <f t="shared" si="14"/>
        <v>-0.19999999999708962</v>
      </c>
      <c r="BF39" s="600" t="s">
        <v>285</v>
      </c>
      <c r="BG39" s="601">
        <f t="shared" si="20"/>
        <v>0</v>
      </c>
      <c r="BK39" s="690"/>
    </row>
    <row r="40" spans="1:63" s="44" customFormat="1" x14ac:dyDescent="0.3">
      <c r="A40" s="689"/>
      <c r="B40" s="570">
        <v>26</v>
      </c>
      <c r="C40" s="290">
        <v>43708</v>
      </c>
      <c r="D40" s="289">
        <v>40000</v>
      </c>
      <c r="E40" s="294">
        <f t="shared" si="21"/>
        <v>8</v>
      </c>
      <c r="F40" s="289">
        <v>133</v>
      </c>
      <c r="G40" s="461">
        <v>21</v>
      </c>
      <c r="H40" s="289" t="s">
        <v>69</v>
      </c>
      <c r="I40" s="45" t="s">
        <v>164</v>
      </c>
      <c r="J40" s="45" t="s">
        <v>32</v>
      </c>
      <c r="K40" s="45" t="s">
        <v>165</v>
      </c>
      <c r="L40" s="609" t="s">
        <v>443</v>
      </c>
      <c r="M40" s="606" t="s">
        <v>57</v>
      </c>
      <c r="N40" s="606" t="s">
        <v>29</v>
      </c>
      <c r="O40" s="289" t="s">
        <v>37</v>
      </c>
      <c r="P40" s="291">
        <f>20000+10000+10000+40000</f>
        <v>80000</v>
      </c>
      <c r="Q40" s="291">
        <f t="shared" si="2"/>
        <v>50000</v>
      </c>
      <c r="R40" s="291">
        <f t="shared" si="3"/>
        <v>20000</v>
      </c>
      <c r="S40" s="291">
        <f t="shared" si="4"/>
        <v>5000</v>
      </c>
      <c r="T40" s="291">
        <f t="shared" si="5"/>
        <v>5000</v>
      </c>
      <c r="U40" s="291">
        <f t="shared" si="6"/>
        <v>80000</v>
      </c>
      <c r="V40" s="291"/>
      <c r="W40" s="291"/>
      <c r="X40" s="291">
        <f>P40/$G$4*W40</f>
        <v>0</v>
      </c>
      <c r="Y40" s="291">
        <v>0</v>
      </c>
      <c r="Z40" s="296">
        <f>P40/$G$4*Y40</f>
        <v>0</v>
      </c>
      <c r="AA40" s="291">
        <f>P40/$G$4/9</f>
        <v>444.44444444444446</v>
      </c>
      <c r="AB40" s="292"/>
      <c r="AC40" s="291">
        <f t="shared" si="7"/>
        <v>0</v>
      </c>
      <c r="AD40" s="291">
        <f t="shared" si="8"/>
        <v>80000</v>
      </c>
      <c r="AE40" s="710">
        <v>487.4</v>
      </c>
      <c r="AF40" s="291">
        <v>250</v>
      </c>
      <c r="AG40" s="291">
        <v>0</v>
      </c>
      <c r="AH40" s="291">
        <v>0</v>
      </c>
      <c r="AI40" s="291">
        <f t="shared" si="9"/>
        <v>79262.600000000006</v>
      </c>
      <c r="AJ40" s="45" t="s">
        <v>101</v>
      </c>
      <c r="AK40" s="45" t="s">
        <v>293</v>
      </c>
      <c r="AL40" s="294" t="s">
        <v>259</v>
      </c>
      <c r="AM40" s="45" t="s">
        <v>292</v>
      </c>
      <c r="AN40" s="293">
        <f t="shared" ref="AN40:AN47" si="23">AI40</f>
        <v>79262.600000000006</v>
      </c>
      <c r="AO40" s="293"/>
      <c r="AP40" s="293"/>
      <c r="AQ40" s="293"/>
      <c r="AR40" s="293"/>
      <c r="AS40" s="293">
        <f t="shared" si="10"/>
        <v>79262.600000000006</v>
      </c>
      <c r="AT40" s="295"/>
      <c r="AU40" s="293">
        <f t="shared" si="11"/>
        <v>79262.600000000006</v>
      </c>
      <c r="AV40" s="598">
        <f t="shared" si="12"/>
        <v>0</v>
      </c>
      <c r="AW40" s="598"/>
      <c r="AX40" s="598"/>
      <c r="AY40" s="598"/>
      <c r="AZ40" s="598">
        <v>79263</v>
      </c>
      <c r="BA40" s="598">
        <v>0</v>
      </c>
      <c r="BB40" s="598"/>
      <c r="BC40" s="598"/>
      <c r="BD40" s="598">
        <f t="shared" si="13"/>
        <v>79263</v>
      </c>
      <c r="BE40" s="599">
        <f t="shared" si="14"/>
        <v>0.39999999999417923</v>
      </c>
      <c r="BF40" s="600" t="s">
        <v>287</v>
      </c>
      <c r="BG40" s="601">
        <f t="shared" si="20"/>
        <v>1250</v>
      </c>
      <c r="BK40" s="690"/>
    </row>
    <row r="41" spans="1:63" s="44" customFormat="1" x14ac:dyDescent="0.3">
      <c r="A41" s="689"/>
      <c r="B41" s="570">
        <v>42</v>
      </c>
      <c r="C41" s="290">
        <v>43830</v>
      </c>
      <c r="D41" s="289">
        <v>30000</v>
      </c>
      <c r="E41" s="294">
        <f t="shared" si="21"/>
        <v>4</v>
      </c>
      <c r="F41" s="289">
        <v>182</v>
      </c>
      <c r="G41" s="461">
        <v>43404</v>
      </c>
      <c r="H41" s="289" t="s">
        <v>69</v>
      </c>
      <c r="I41" s="45" t="s">
        <v>400</v>
      </c>
      <c r="J41" s="45" t="s">
        <v>32</v>
      </c>
      <c r="K41" s="45" t="s">
        <v>28</v>
      </c>
      <c r="L41" s="609" t="s">
        <v>31</v>
      </c>
      <c r="M41" s="606" t="s">
        <v>57</v>
      </c>
      <c r="N41" s="606" t="s">
        <v>277</v>
      </c>
      <c r="O41" s="289" t="s">
        <v>37</v>
      </c>
      <c r="P41" s="291">
        <f>50000+30000</f>
        <v>80000</v>
      </c>
      <c r="Q41" s="291">
        <f t="shared" si="2"/>
        <v>50000</v>
      </c>
      <c r="R41" s="291">
        <f t="shared" si="3"/>
        <v>20000</v>
      </c>
      <c r="S41" s="291">
        <f t="shared" si="4"/>
        <v>5000</v>
      </c>
      <c r="T41" s="291">
        <f t="shared" si="5"/>
        <v>5000</v>
      </c>
      <c r="U41" s="291">
        <f t="shared" si="6"/>
        <v>80000</v>
      </c>
      <c r="V41" s="291"/>
      <c r="W41" s="291"/>
      <c r="X41" s="291">
        <f>P41/$G$4*W41</f>
        <v>0</v>
      </c>
      <c r="Y41" s="291">
        <v>0</v>
      </c>
      <c r="Z41" s="296">
        <f>P41/$G$4*Y41</f>
        <v>0</v>
      </c>
      <c r="AA41" s="291">
        <f>P41/$G$4/9</f>
        <v>444.44444444444446</v>
      </c>
      <c r="AB41" s="292"/>
      <c r="AC41" s="291">
        <f t="shared" si="7"/>
        <v>0</v>
      </c>
      <c r="AD41" s="291">
        <f t="shared" si="8"/>
        <v>80000</v>
      </c>
      <c r="AE41" s="710">
        <v>492</v>
      </c>
      <c r="AF41" s="291">
        <v>0</v>
      </c>
      <c r="AG41" s="291">
        <v>0</v>
      </c>
      <c r="AH41" s="291">
        <v>0</v>
      </c>
      <c r="AI41" s="291">
        <f t="shared" si="9"/>
        <v>79508</v>
      </c>
      <c r="AJ41" s="45" t="s">
        <v>101</v>
      </c>
      <c r="AK41" s="45" t="s">
        <v>450</v>
      </c>
      <c r="AL41" s="756" t="s">
        <v>594</v>
      </c>
      <c r="AM41" s="45" t="s">
        <v>426</v>
      </c>
      <c r="AN41" s="293">
        <f t="shared" si="23"/>
        <v>79508</v>
      </c>
      <c r="AO41" s="293"/>
      <c r="AP41" s="293"/>
      <c r="AQ41" s="293"/>
      <c r="AR41" s="293"/>
      <c r="AS41" s="293">
        <f t="shared" si="10"/>
        <v>79508</v>
      </c>
      <c r="AT41" s="295"/>
      <c r="AU41" s="293">
        <f t="shared" si="11"/>
        <v>79508</v>
      </c>
      <c r="AV41" s="598">
        <f t="shared" si="12"/>
        <v>0</v>
      </c>
      <c r="AW41" s="598"/>
      <c r="AX41" s="598"/>
      <c r="AY41" s="598"/>
      <c r="AZ41" s="598">
        <v>79508</v>
      </c>
      <c r="BA41" s="598">
        <v>0</v>
      </c>
      <c r="BB41" s="598"/>
      <c r="BC41" s="598"/>
      <c r="BD41" s="598">
        <f t="shared" si="13"/>
        <v>79508</v>
      </c>
      <c r="BE41" s="599">
        <f t="shared" si="14"/>
        <v>0</v>
      </c>
      <c r="BF41" s="600" t="s">
        <v>287</v>
      </c>
      <c r="BG41" s="601">
        <f t="shared" si="20"/>
        <v>0</v>
      </c>
      <c r="BK41" s="690"/>
    </row>
    <row r="42" spans="1:63" s="44" customFormat="1" x14ac:dyDescent="0.3">
      <c r="A42" s="689"/>
      <c r="B42" s="570">
        <v>27</v>
      </c>
      <c r="C42" s="290">
        <v>43890</v>
      </c>
      <c r="D42" s="289">
        <v>15000</v>
      </c>
      <c r="E42" s="294">
        <f t="shared" si="21"/>
        <v>2</v>
      </c>
      <c r="F42" s="289">
        <v>82</v>
      </c>
      <c r="G42" s="461">
        <v>42874</v>
      </c>
      <c r="H42" s="289" t="s">
        <v>69</v>
      </c>
      <c r="I42" s="45" t="s">
        <v>77</v>
      </c>
      <c r="J42" s="45" t="s">
        <v>32</v>
      </c>
      <c r="K42" s="45" t="s">
        <v>28</v>
      </c>
      <c r="L42" s="609" t="s">
        <v>443</v>
      </c>
      <c r="M42" s="606" t="s">
        <v>57</v>
      </c>
      <c r="N42" s="606" t="s">
        <v>29</v>
      </c>
      <c r="O42" s="289" t="s">
        <v>37</v>
      </c>
      <c r="P42" s="291">
        <f>75000+15000</f>
        <v>90000</v>
      </c>
      <c r="Q42" s="291">
        <f t="shared" si="2"/>
        <v>56250</v>
      </c>
      <c r="R42" s="291">
        <f t="shared" si="3"/>
        <v>22500</v>
      </c>
      <c r="S42" s="291">
        <f t="shared" si="4"/>
        <v>5625</v>
      </c>
      <c r="T42" s="291">
        <f t="shared" si="5"/>
        <v>5625</v>
      </c>
      <c r="U42" s="291">
        <f t="shared" si="6"/>
        <v>90000</v>
      </c>
      <c r="V42" s="291"/>
      <c r="W42" s="291"/>
      <c r="X42" s="291">
        <f>P42/$G$4*W42</f>
        <v>0</v>
      </c>
      <c r="Y42" s="291">
        <v>0</v>
      </c>
      <c r="Z42" s="296">
        <f>P42/$G$4*Y42</f>
        <v>0</v>
      </c>
      <c r="AA42" s="291">
        <f>P42/$G$4/9</f>
        <v>500</v>
      </c>
      <c r="AB42" s="292"/>
      <c r="AC42" s="291">
        <f t="shared" si="7"/>
        <v>0</v>
      </c>
      <c r="AD42" s="291">
        <f t="shared" si="8"/>
        <v>90000</v>
      </c>
      <c r="AE42" s="710">
        <v>671.5</v>
      </c>
      <c r="AF42" s="291">
        <v>0</v>
      </c>
      <c r="AG42" s="291">
        <v>0</v>
      </c>
      <c r="AH42" s="291">
        <v>0</v>
      </c>
      <c r="AI42" s="291">
        <f t="shared" si="9"/>
        <v>89328.5</v>
      </c>
      <c r="AJ42" s="45" t="s">
        <v>101</v>
      </c>
      <c r="AK42" s="45" t="s">
        <v>107</v>
      </c>
      <c r="AL42" s="294" t="s">
        <v>258</v>
      </c>
      <c r="AM42" s="45" t="s">
        <v>77</v>
      </c>
      <c r="AN42" s="293">
        <f t="shared" si="23"/>
        <v>89328.5</v>
      </c>
      <c r="AO42" s="293"/>
      <c r="AP42" s="293"/>
      <c r="AQ42" s="293"/>
      <c r="AR42" s="293"/>
      <c r="AS42" s="293">
        <f t="shared" si="10"/>
        <v>89328.5</v>
      </c>
      <c r="AT42" s="295"/>
      <c r="AU42" s="293">
        <f t="shared" si="11"/>
        <v>89328.5</v>
      </c>
      <c r="AV42" s="598">
        <f t="shared" si="12"/>
        <v>0</v>
      </c>
      <c r="AW42" s="598"/>
      <c r="AX42" s="598"/>
      <c r="AY42" s="598"/>
      <c r="AZ42" s="598">
        <v>89329</v>
      </c>
      <c r="BA42" s="598">
        <v>0</v>
      </c>
      <c r="BB42" s="598"/>
      <c r="BC42" s="598"/>
      <c r="BD42" s="598">
        <f t="shared" si="13"/>
        <v>89329</v>
      </c>
      <c r="BE42" s="599">
        <f t="shared" si="14"/>
        <v>0.5</v>
      </c>
      <c r="BF42" s="600" t="s">
        <v>287</v>
      </c>
      <c r="BG42" s="601">
        <f t="shared" si="20"/>
        <v>0</v>
      </c>
      <c r="BK42" s="690"/>
    </row>
    <row r="43" spans="1:63" s="44" customFormat="1" x14ac:dyDescent="0.3">
      <c r="A43" s="689"/>
      <c r="B43" s="570">
        <v>41</v>
      </c>
      <c r="C43" s="290">
        <v>43830</v>
      </c>
      <c r="D43" s="289">
        <v>35000</v>
      </c>
      <c r="E43" s="294">
        <f t="shared" si="21"/>
        <v>4</v>
      </c>
      <c r="F43" s="289">
        <v>180</v>
      </c>
      <c r="G43" s="461">
        <v>43307</v>
      </c>
      <c r="H43" s="289" t="s">
        <v>69</v>
      </c>
      <c r="I43" s="45" t="s">
        <v>276</v>
      </c>
      <c r="J43" s="45" t="s">
        <v>32</v>
      </c>
      <c r="K43" s="45" t="s">
        <v>28</v>
      </c>
      <c r="L43" s="609" t="s">
        <v>31</v>
      </c>
      <c r="M43" s="606" t="s">
        <v>57</v>
      </c>
      <c r="N43" s="606" t="s">
        <v>277</v>
      </c>
      <c r="O43" s="289" t="s">
        <v>37</v>
      </c>
      <c r="P43" s="291">
        <f>70000+35000</f>
        <v>105000</v>
      </c>
      <c r="Q43" s="291">
        <f t="shared" si="2"/>
        <v>65625</v>
      </c>
      <c r="R43" s="291">
        <f t="shared" si="3"/>
        <v>26250</v>
      </c>
      <c r="S43" s="291">
        <f t="shared" si="4"/>
        <v>6562.5</v>
      </c>
      <c r="T43" s="291">
        <f t="shared" si="5"/>
        <v>6562.5</v>
      </c>
      <c r="U43" s="291">
        <f t="shared" si="6"/>
        <v>105000</v>
      </c>
      <c r="V43" s="291"/>
      <c r="W43" s="291"/>
      <c r="X43" s="291">
        <f>P43/$G$4*W43</f>
        <v>0</v>
      </c>
      <c r="Y43" s="291">
        <v>0</v>
      </c>
      <c r="Z43" s="296">
        <f>P43/$G$4*Y43</f>
        <v>0</v>
      </c>
      <c r="AA43" s="291">
        <f>P43/$G$4/9</f>
        <v>583.33333333333337</v>
      </c>
      <c r="AB43" s="292"/>
      <c r="AC43" s="291">
        <f t="shared" si="7"/>
        <v>0</v>
      </c>
      <c r="AD43" s="291">
        <f t="shared" si="8"/>
        <v>105000</v>
      </c>
      <c r="AE43" s="710">
        <v>1011.4</v>
      </c>
      <c r="AF43" s="291">
        <v>0</v>
      </c>
      <c r="AG43" s="291">
        <v>0</v>
      </c>
      <c r="AH43" s="291">
        <v>0</v>
      </c>
      <c r="AI43" s="291">
        <f t="shared" si="9"/>
        <v>103988.6</v>
      </c>
      <c r="AJ43" s="45" t="s">
        <v>101</v>
      </c>
      <c r="AK43" s="45" t="s">
        <v>398</v>
      </c>
      <c r="AL43" s="294" t="s">
        <v>397</v>
      </c>
      <c r="AM43" s="45" t="s">
        <v>399</v>
      </c>
      <c r="AN43" s="293">
        <f t="shared" si="23"/>
        <v>103988.6</v>
      </c>
      <c r="AO43" s="293"/>
      <c r="AP43" s="293"/>
      <c r="AQ43" s="293"/>
      <c r="AR43" s="293"/>
      <c r="AS43" s="293">
        <f t="shared" si="10"/>
        <v>103988.6</v>
      </c>
      <c r="AT43" s="295"/>
      <c r="AU43" s="293">
        <f t="shared" si="11"/>
        <v>103988.6</v>
      </c>
      <c r="AV43" s="598">
        <f t="shared" si="12"/>
        <v>0</v>
      </c>
      <c r="AW43" s="598"/>
      <c r="AX43" s="598"/>
      <c r="AY43" s="598"/>
      <c r="AZ43" s="598">
        <v>103989</v>
      </c>
      <c r="BA43" s="598">
        <v>0</v>
      </c>
      <c r="BB43" s="598"/>
      <c r="BC43" s="598"/>
      <c r="BD43" s="598">
        <f t="shared" si="13"/>
        <v>103989</v>
      </c>
      <c r="BE43" s="599">
        <f t="shared" si="14"/>
        <v>0.39999999999417923</v>
      </c>
      <c r="BF43" s="600" t="s">
        <v>287</v>
      </c>
      <c r="BG43" s="601">
        <f t="shared" si="20"/>
        <v>0</v>
      </c>
      <c r="BK43" s="690"/>
    </row>
    <row r="44" spans="1:63" s="44" customFormat="1" x14ac:dyDescent="0.3">
      <c r="A44" s="689"/>
      <c r="B44" s="570">
        <v>31</v>
      </c>
      <c r="C44" s="290">
        <v>43861</v>
      </c>
      <c r="D44" s="289">
        <v>5000</v>
      </c>
      <c r="E44" s="294">
        <f t="shared" si="21"/>
        <v>3</v>
      </c>
      <c r="F44" s="289">
        <v>162</v>
      </c>
      <c r="G44" s="461">
        <v>43236</v>
      </c>
      <c r="H44" s="289" t="s">
        <v>69</v>
      </c>
      <c r="I44" s="45" t="s">
        <v>248</v>
      </c>
      <c r="J44" s="45" t="s">
        <v>56</v>
      </c>
      <c r="K44" s="45" t="s">
        <v>534</v>
      </c>
      <c r="L44" s="609" t="s">
        <v>51</v>
      </c>
      <c r="M44" s="606" t="s">
        <v>57</v>
      </c>
      <c r="N44" s="606" t="s">
        <v>35</v>
      </c>
      <c r="O44" s="289" t="s">
        <v>37</v>
      </c>
      <c r="P44" s="291">
        <f>90000+15000+5000</f>
        <v>110000</v>
      </c>
      <c r="Q44" s="291">
        <f t="shared" si="2"/>
        <v>68750</v>
      </c>
      <c r="R44" s="291">
        <f t="shared" si="3"/>
        <v>27500</v>
      </c>
      <c r="S44" s="291">
        <f t="shared" si="4"/>
        <v>6875</v>
      </c>
      <c r="T44" s="291">
        <f t="shared" si="5"/>
        <v>6875</v>
      </c>
      <c r="U44" s="291">
        <f t="shared" si="6"/>
        <v>110000</v>
      </c>
      <c r="V44" s="291"/>
      <c r="W44" s="291"/>
      <c r="X44" s="291">
        <f>P44/$G$6*W44</f>
        <v>0</v>
      </c>
      <c r="Y44" s="291">
        <v>0</v>
      </c>
      <c r="Z44" s="296">
        <f>P44/$G$6*Y44</f>
        <v>0</v>
      </c>
      <c r="AA44" s="291">
        <f>P44/$G$6/9</f>
        <v>582.01058201058208</v>
      </c>
      <c r="AB44" s="292"/>
      <c r="AC44" s="291">
        <f t="shared" si="7"/>
        <v>0</v>
      </c>
      <c r="AD44" s="291">
        <f t="shared" si="8"/>
        <v>110000</v>
      </c>
      <c r="AE44" s="710">
        <v>1134.25</v>
      </c>
      <c r="AF44" s="291">
        <v>0</v>
      </c>
      <c r="AG44" s="291">
        <v>0</v>
      </c>
      <c r="AH44" s="291">
        <v>0</v>
      </c>
      <c r="AI44" s="291">
        <f t="shared" si="9"/>
        <v>108865.75</v>
      </c>
      <c r="AJ44" s="45" t="s">
        <v>101</v>
      </c>
      <c r="AK44" s="45" t="s">
        <v>249</v>
      </c>
      <c r="AL44" s="294" t="s">
        <v>263</v>
      </c>
      <c r="AM44" s="45" t="s">
        <v>248</v>
      </c>
      <c r="AN44" s="293">
        <f t="shared" si="23"/>
        <v>108865.75</v>
      </c>
      <c r="AO44" s="293"/>
      <c r="AP44" s="293"/>
      <c r="AQ44" s="293"/>
      <c r="AR44" s="293"/>
      <c r="AS44" s="293">
        <f t="shared" si="10"/>
        <v>108865.75</v>
      </c>
      <c r="AT44" s="295"/>
      <c r="AU44" s="293">
        <f t="shared" si="11"/>
        <v>108865.75</v>
      </c>
      <c r="AV44" s="598">
        <f t="shared" si="12"/>
        <v>0</v>
      </c>
      <c r="AW44" s="598"/>
      <c r="AX44" s="598"/>
      <c r="AY44" s="598"/>
      <c r="AZ44" s="598">
        <v>108866</v>
      </c>
      <c r="BA44" s="598">
        <v>0</v>
      </c>
      <c r="BB44" s="598"/>
      <c r="BC44" s="598"/>
      <c r="BD44" s="598">
        <f t="shared" si="13"/>
        <v>108866</v>
      </c>
      <c r="BE44" s="599">
        <f t="shared" si="14"/>
        <v>0.25</v>
      </c>
      <c r="BF44" s="600" t="s">
        <v>286</v>
      </c>
      <c r="BG44" s="601">
        <f t="shared" si="20"/>
        <v>0</v>
      </c>
      <c r="BK44" s="690"/>
    </row>
    <row r="45" spans="1:63" s="44" customFormat="1" x14ac:dyDescent="0.3">
      <c r="A45" s="689"/>
      <c r="B45" s="570">
        <v>37</v>
      </c>
      <c r="C45" s="290">
        <v>43830</v>
      </c>
      <c r="D45" s="289">
        <v>20000</v>
      </c>
      <c r="E45" s="294">
        <f t="shared" si="21"/>
        <v>4</v>
      </c>
      <c r="F45" s="289">
        <v>7</v>
      </c>
      <c r="G45" s="461">
        <v>42185</v>
      </c>
      <c r="H45" s="289" t="s">
        <v>69</v>
      </c>
      <c r="I45" s="45" t="s">
        <v>45</v>
      </c>
      <c r="J45" s="45" t="s">
        <v>56</v>
      </c>
      <c r="K45" s="45" t="s">
        <v>534</v>
      </c>
      <c r="L45" s="609" t="s">
        <v>31</v>
      </c>
      <c r="M45" s="606" t="s">
        <v>57</v>
      </c>
      <c r="N45" s="606" t="s">
        <v>277</v>
      </c>
      <c r="O45" s="289" t="s">
        <v>37</v>
      </c>
      <c r="P45" s="291">
        <f>60000+15000+15000+20000</f>
        <v>110000</v>
      </c>
      <c r="Q45" s="291">
        <f t="shared" si="2"/>
        <v>68750</v>
      </c>
      <c r="R45" s="291">
        <f t="shared" si="3"/>
        <v>27500</v>
      </c>
      <c r="S45" s="291">
        <f t="shared" si="4"/>
        <v>6875</v>
      </c>
      <c r="T45" s="291">
        <f t="shared" si="5"/>
        <v>6875</v>
      </c>
      <c r="U45" s="291">
        <f t="shared" si="6"/>
        <v>110000</v>
      </c>
      <c r="V45" s="291"/>
      <c r="W45" s="291"/>
      <c r="X45" s="291">
        <f>P45/$G$4*W45</f>
        <v>0</v>
      </c>
      <c r="Y45" s="291">
        <v>0</v>
      </c>
      <c r="Z45" s="296">
        <f>P45/$G$4*Y45</f>
        <v>0</v>
      </c>
      <c r="AA45" s="291">
        <f>P45/$G$4/9</f>
        <v>611.11111111111109</v>
      </c>
      <c r="AB45" s="292"/>
      <c r="AC45" s="291">
        <f t="shared" si="7"/>
        <v>0</v>
      </c>
      <c r="AD45" s="291">
        <f t="shared" si="8"/>
        <v>110000</v>
      </c>
      <c r="AE45" s="710">
        <v>3062</v>
      </c>
      <c r="AF45" s="291">
        <v>250</v>
      </c>
      <c r="AG45" s="291">
        <v>0</v>
      </c>
      <c r="AH45" s="291">
        <v>10000</v>
      </c>
      <c r="AI45" s="291">
        <f t="shared" si="9"/>
        <v>96688</v>
      </c>
      <c r="AJ45" s="45" t="s">
        <v>101</v>
      </c>
      <c r="AK45" s="45" t="s">
        <v>102</v>
      </c>
      <c r="AL45" s="294" t="s">
        <v>257</v>
      </c>
      <c r="AM45" s="45" t="s">
        <v>266</v>
      </c>
      <c r="AN45" s="293">
        <f t="shared" si="23"/>
        <v>96688</v>
      </c>
      <c r="AO45" s="293"/>
      <c r="AP45" s="293"/>
      <c r="AQ45" s="293"/>
      <c r="AR45" s="293"/>
      <c r="AS45" s="293">
        <f t="shared" si="10"/>
        <v>96688</v>
      </c>
      <c r="AT45" s="295"/>
      <c r="AU45" s="293">
        <f t="shared" si="11"/>
        <v>96688</v>
      </c>
      <c r="AV45" s="598">
        <f t="shared" si="12"/>
        <v>0</v>
      </c>
      <c r="AW45" s="598"/>
      <c r="AX45" s="598"/>
      <c r="AY45" s="598"/>
      <c r="AZ45" s="598">
        <v>96688</v>
      </c>
      <c r="BA45" s="598">
        <v>0</v>
      </c>
      <c r="BB45" s="598"/>
      <c r="BC45" s="598"/>
      <c r="BD45" s="598">
        <f t="shared" si="13"/>
        <v>96688</v>
      </c>
      <c r="BE45" s="599">
        <f t="shared" si="14"/>
        <v>0</v>
      </c>
      <c r="BF45" s="600" t="s">
        <v>287</v>
      </c>
      <c r="BG45" s="601">
        <f t="shared" si="20"/>
        <v>1250</v>
      </c>
      <c r="BK45" s="690"/>
    </row>
    <row r="46" spans="1:63" s="44" customFormat="1" x14ac:dyDescent="0.3">
      <c r="A46" s="689"/>
      <c r="B46" s="570">
        <v>30</v>
      </c>
      <c r="C46" s="290">
        <v>43861</v>
      </c>
      <c r="D46" s="289">
        <v>30000</v>
      </c>
      <c r="E46" s="294">
        <f t="shared" si="21"/>
        <v>3</v>
      </c>
      <c r="F46" s="289">
        <v>702</v>
      </c>
      <c r="G46" s="461">
        <v>43684</v>
      </c>
      <c r="H46" s="289" t="s">
        <v>69</v>
      </c>
      <c r="I46" s="45" t="s">
        <v>455</v>
      </c>
      <c r="J46" s="45" t="s">
        <v>32</v>
      </c>
      <c r="K46" s="45" t="s">
        <v>28</v>
      </c>
      <c r="L46" s="609" t="s">
        <v>442</v>
      </c>
      <c r="M46" s="606" t="s">
        <v>57</v>
      </c>
      <c r="N46" s="606" t="s">
        <v>169</v>
      </c>
      <c r="O46" s="289" t="s">
        <v>30</v>
      </c>
      <c r="P46" s="291">
        <f>100000+30000</f>
        <v>130000</v>
      </c>
      <c r="Q46" s="291">
        <f t="shared" si="2"/>
        <v>81250</v>
      </c>
      <c r="R46" s="291">
        <f t="shared" si="3"/>
        <v>32500</v>
      </c>
      <c r="S46" s="291">
        <f t="shared" si="4"/>
        <v>8125</v>
      </c>
      <c r="T46" s="291">
        <f t="shared" si="5"/>
        <v>8125</v>
      </c>
      <c r="U46" s="291">
        <f t="shared" si="6"/>
        <v>130000</v>
      </c>
      <c r="V46" s="291"/>
      <c r="W46" s="291"/>
      <c r="X46" s="291">
        <f>P46/$G$6*W46</f>
        <v>0</v>
      </c>
      <c r="Y46" s="291">
        <v>0</v>
      </c>
      <c r="Z46" s="296">
        <f>P46/$G$6*Y46</f>
        <v>0</v>
      </c>
      <c r="AA46" s="291">
        <f>P46/$G$6/9</f>
        <v>687.83068783068791</v>
      </c>
      <c r="AB46" s="292"/>
      <c r="AC46" s="291">
        <f t="shared" si="7"/>
        <v>0</v>
      </c>
      <c r="AD46" s="291">
        <f t="shared" si="8"/>
        <v>130000</v>
      </c>
      <c r="AE46" s="710">
        <v>1790.25</v>
      </c>
      <c r="AF46" s="291">
        <v>0</v>
      </c>
      <c r="AG46" s="291">
        <v>0</v>
      </c>
      <c r="AH46" s="291">
        <v>0</v>
      </c>
      <c r="AI46" s="291">
        <f t="shared" si="9"/>
        <v>128209.75</v>
      </c>
      <c r="AJ46" s="45" t="s">
        <v>101</v>
      </c>
      <c r="AK46" s="45" t="s">
        <v>456</v>
      </c>
      <c r="AL46" s="294" t="s">
        <v>462</v>
      </c>
      <c r="AM46" s="45" t="s">
        <v>457</v>
      </c>
      <c r="AN46" s="293">
        <f t="shared" si="23"/>
        <v>128209.75</v>
      </c>
      <c r="AO46" s="293"/>
      <c r="AP46" s="293"/>
      <c r="AQ46" s="293"/>
      <c r="AR46" s="293"/>
      <c r="AS46" s="293">
        <f t="shared" si="10"/>
        <v>128209.75</v>
      </c>
      <c r="AT46" s="295"/>
      <c r="AU46" s="293">
        <f t="shared" si="11"/>
        <v>128209.75</v>
      </c>
      <c r="AV46" s="598">
        <f t="shared" si="12"/>
        <v>0</v>
      </c>
      <c r="AW46" s="598"/>
      <c r="AX46" s="598"/>
      <c r="AY46" s="598"/>
      <c r="AZ46" s="598">
        <v>128210</v>
      </c>
      <c r="BA46" s="598">
        <v>0</v>
      </c>
      <c r="BB46" s="598"/>
      <c r="BC46" s="598"/>
      <c r="BD46" s="598">
        <f t="shared" si="13"/>
        <v>128210</v>
      </c>
      <c r="BE46" s="599">
        <f t="shared" si="14"/>
        <v>0.25</v>
      </c>
      <c r="BF46" s="600" t="s">
        <v>286</v>
      </c>
      <c r="BG46" s="601">
        <f t="shared" si="20"/>
        <v>0</v>
      </c>
      <c r="BK46" s="690"/>
    </row>
    <row r="47" spans="1:63" s="44" customFormat="1" x14ac:dyDescent="0.3">
      <c r="A47" s="689"/>
      <c r="B47" s="570">
        <v>2</v>
      </c>
      <c r="C47" s="611">
        <v>43890</v>
      </c>
      <c r="D47" s="589">
        <v>15000</v>
      </c>
      <c r="E47" s="595">
        <f t="shared" si="21"/>
        <v>2</v>
      </c>
      <c r="F47" s="589">
        <v>53</v>
      </c>
      <c r="G47" s="590">
        <v>42752</v>
      </c>
      <c r="H47" s="589" t="s">
        <v>69</v>
      </c>
      <c r="I47" s="591" t="s">
        <v>55</v>
      </c>
      <c r="J47" s="591" t="s">
        <v>50</v>
      </c>
      <c r="K47" s="591" t="s">
        <v>62</v>
      </c>
      <c r="L47" s="612" t="s">
        <v>441</v>
      </c>
      <c r="M47" s="608" t="s">
        <v>59</v>
      </c>
      <c r="N47" s="608" t="s">
        <v>59</v>
      </c>
      <c r="O47" s="589" t="s">
        <v>37</v>
      </c>
      <c r="P47" s="592">
        <f>100000+30000+15000</f>
        <v>145000</v>
      </c>
      <c r="Q47" s="592">
        <f t="shared" si="2"/>
        <v>90625</v>
      </c>
      <c r="R47" s="592">
        <f t="shared" si="3"/>
        <v>36250</v>
      </c>
      <c r="S47" s="592">
        <f t="shared" si="4"/>
        <v>9062.5</v>
      </c>
      <c r="T47" s="592">
        <f t="shared" si="5"/>
        <v>9062.5</v>
      </c>
      <c r="U47" s="592">
        <f t="shared" si="6"/>
        <v>145000</v>
      </c>
      <c r="V47" s="592"/>
      <c r="W47" s="592"/>
      <c r="X47" s="291">
        <f>P47/$G$3*W47</f>
        <v>0</v>
      </c>
      <c r="Y47" s="291">
        <v>0</v>
      </c>
      <c r="Z47" s="296">
        <f>P47/$G$3*Y47</f>
        <v>0</v>
      </c>
      <c r="AA47" s="291">
        <f>P47/$G$3/9</f>
        <v>847.953216374269</v>
      </c>
      <c r="AB47" s="594"/>
      <c r="AC47" s="592">
        <f t="shared" si="7"/>
        <v>0</v>
      </c>
      <c r="AD47" s="592">
        <f t="shared" si="8"/>
        <v>145000</v>
      </c>
      <c r="AE47" s="793">
        <v>1321</v>
      </c>
      <c r="AF47" s="592">
        <v>250</v>
      </c>
      <c r="AG47" s="592">
        <v>0</v>
      </c>
      <c r="AH47" s="592">
        <v>0</v>
      </c>
      <c r="AI47" s="592">
        <f t="shared" si="9"/>
        <v>143429</v>
      </c>
      <c r="AJ47" s="591" t="s">
        <v>101</v>
      </c>
      <c r="AK47" s="591" t="s">
        <v>103</v>
      </c>
      <c r="AL47" s="595" t="s">
        <v>250</v>
      </c>
      <c r="AM47" s="591" t="s">
        <v>110</v>
      </c>
      <c r="AN47" s="596">
        <f t="shared" si="23"/>
        <v>143429</v>
      </c>
      <c r="AO47" s="596"/>
      <c r="AP47" s="596"/>
      <c r="AQ47" s="596"/>
      <c r="AR47" s="596"/>
      <c r="AS47" s="596">
        <f t="shared" si="10"/>
        <v>143429</v>
      </c>
      <c r="AT47" s="597"/>
      <c r="AU47" s="596">
        <f t="shared" si="11"/>
        <v>143429</v>
      </c>
      <c r="AV47" s="602">
        <f t="shared" si="12"/>
        <v>0</v>
      </c>
      <c r="AW47" s="598"/>
      <c r="AX47" s="598"/>
      <c r="AY47" s="602"/>
      <c r="AZ47" s="598">
        <v>143429</v>
      </c>
      <c r="BA47" s="602">
        <v>0</v>
      </c>
      <c r="BB47" s="602"/>
      <c r="BC47" s="602"/>
      <c r="BD47" s="602">
        <f t="shared" si="13"/>
        <v>143429</v>
      </c>
      <c r="BE47" s="603">
        <f t="shared" si="14"/>
        <v>0</v>
      </c>
      <c r="BF47" s="604" t="s">
        <v>285</v>
      </c>
      <c r="BG47" s="605">
        <f t="shared" si="20"/>
        <v>1250</v>
      </c>
      <c r="BK47" s="690"/>
    </row>
    <row r="48" spans="1:63" s="44" customFormat="1" x14ac:dyDescent="0.3">
      <c r="A48" s="546"/>
      <c r="B48" s="683">
        <v>1</v>
      </c>
      <c r="C48" s="611">
        <v>43677</v>
      </c>
      <c r="D48" s="589">
        <v>17000</v>
      </c>
      <c r="E48" s="595">
        <f t="shared" si="21"/>
        <v>9</v>
      </c>
      <c r="F48" s="589">
        <v>78</v>
      </c>
      <c r="G48" s="590">
        <v>42927</v>
      </c>
      <c r="H48" s="589" t="s">
        <v>69</v>
      </c>
      <c r="I48" s="591" t="s">
        <v>85</v>
      </c>
      <c r="J48" s="591" t="s">
        <v>50</v>
      </c>
      <c r="K48" s="591" t="s">
        <v>84</v>
      </c>
      <c r="L48" s="612" t="s">
        <v>440</v>
      </c>
      <c r="M48" s="608" t="s">
        <v>59</v>
      </c>
      <c r="N48" s="608" t="s">
        <v>59</v>
      </c>
      <c r="O48" s="589" t="s">
        <v>37</v>
      </c>
      <c r="P48" s="592">
        <f>170000+17000</f>
        <v>187000</v>
      </c>
      <c r="Q48" s="592">
        <f t="shared" si="2"/>
        <v>116875</v>
      </c>
      <c r="R48" s="592">
        <f t="shared" si="3"/>
        <v>46750</v>
      </c>
      <c r="S48" s="592">
        <f t="shared" si="4"/>
        <v>11687.5</v>
      </c>
      <c r="T48" s="592">
        <f t="shared" si="5"/>
        <v>11687.5</v>
      </c>
      <c r="U48" s="592">
        <f t="shared" si="6"/>
        <v>187000</v>
      </c>
      <c r="V48" s="592"/>
      <c r="W48" s="592"/>
      <c r="X48" s="291">
        <f>P48/$G$3*W48</f>
        <v>0</v>
      </c>
      <c r="Y48" s="291">
        <v>0</v>
      </c>
      <c r="Z48" s="296">
        <f>P48/$G$3*Y48</f>
        <v>0</v>
      </c>
      <c r="AA48" s="291">
        <f>P48/$G$3/9</f>
        <v>1093.5672514619882</v>
      </c>
      <c r="AB48" s="594"/>
      <c r="AC48" s="592">
        <f t="shared" si="7"/>
        <v>0</v>
      </c>
      <c r="AD48" s="592">
        <f t="shared" si="8"/>
        <v>187000</v>
      </c>
      <c r="AE48" s="793">
        <v>3485.4</v>
      </c>
      <c r="AF48" s="592">
        <v>250</v>
      </c>
      <c r="AG48" s="592">
        <v>0</v>
      </c>
      <c r="AH48" s="592">
        <v>0</v>
      </c>
      <c r="AI48" s="592">
        <f t="shared" si="9"/>
        <v>183264.6</v>
      </c>
      <c r="AJ48" s="591" t="s">
        <v>101</v>
      </c>
      <c r="AK48" s="591" t="s">
        <v>108</v>
      </c>
      <c r="AL48" s="595" t="s">
        <v>210</v>
      </c>
      <c r="AM48" s="591" t="s">
        <v>267</v>
      </c>
      <c r="AN48" s="596">
        <f>183265-50000</f>
        <v>133265</v>
      </c>
      <c r="AO48" s="596"/>
      <c r="AP48" s="596"/>
      <c r="AQ48" s="596">
        <v>50000</v>
      </c>
      <c r="AR48" s="596"/>
      <c r="AS48" s="596">
        <f t="shared" si="10"/>
        <v>183265</v>
      </c>
      <c r="AT48" s="597"/>
      <c r="AU48" s="596">
        <f t="shared" si="11"/>
        <v>183265</v>
      </c>
      <c r="AV48" s="602">
        <f t="shared" si="12"/>
        <v>-0.39999999999417923</v>
      </c>
      <c r="AW48" s="602"/>
      <c r="AX48" s="602"/>
      <c r="AY48" s="602"/>
      <c r="AZ48" s="602">
        <v>133265</v>
      </c>
      <c r="BA48" s="602">
        <v>50000</v>
      </c>
      <c r="BB48" s="602"/>
      <c r="BC48" s="602"/>
      <c r="BD48" s="602">
        <f t="shared" si="13"/>
        <v>183265</v>
      </c>
      <c r="BE48" s="603">
        <f t="shared" si="14"/>
        <v>0</v>
      </c>
      <c r="BF48" s="604" t="s">
        <v>285</v>
      </c>
      <c r="BG48" s="605">
        <f t="shared" si="20"/>
        <v>1250</v>
      </c>
      <c r="BK48" s="690"/>
    </row>
    <row r="49" spans="1:63" s="44" customFormat="1" x14ac:dyDescent="0.3">
      <c r="A49" s="546"/>
      <c r="B49" s="683">
        <v>32</v>
      </c>
      <c r="C49" s="611">
        <v>43465</v>
      </c>
      <c r="D49" s="589">
        <v>50000</v>
      </c>
      <c r="E49" s="595">
        <f t="shared" si="21"/>
        <v>16</v>
      </c>
      <c r="F49" s="589">
        <v>47</v>
      </c>
      <c r="G49" s="590">
        <v>43039</v>
      </c>
      <c r="H49" s="589" t="s">
        <v>69</v>
      </c>
      <c r="I49" s="591" t="s">
        <v>51</v>
      </c>
      <c r="J49" s="591" t="s">
        <v>32</v>
      </c>
      <c r="K49" s="591" t="s">
        <v>28</v>
      </c>
      <c r="L49" s="612" t="s">
        <v>442</v>
      </c>
      <c r="M49" s="608" t="s">
        <v>57</v>
      </c>
      <c r="N49" s="608" t="s">
        <v>35</v>
      </c>
      <c r="O49" s="589" t="s">
        <v>37</v>
      </c>
      <c r="P49" s="592">
        <f>70000+20000+40000+20000+50000</f>
        <v>200000</v>
      </c>
      <c r="Q49" s="592">
        <f t="shared" si="2"/>
        <v>125000</v>
      </c>
      <c r="R49" s="592">
        <f t="shared" si="3"/>
        <v>50000</v>
      </c>
      <c r="S49" s="592">
        <f t="shared" si="4"/>
        <v>12500</v>
      </c>
      <c r="T49" s="592">
        <f t="shared" si="5"/>
        <v>12500</v>
      </c>
      <c r="U49" s="592">
        <f t="shared" si="6"/>
        <v>200000</v>
      </c>
      <c r="V49" s="592"/>
      <c r="W49" s="592"/>
      <c r="X49" s="291">
        <f>P49/$G$6*W49</f>
        <v>0</v>
      </c>
      <c r="Y49" s="291">
        <v>0</v>
      </c>
      <c r="Z49" s="296">
        <f>P49/$G$6*Y49</f>
        <v>0</v>
      </c>
      <c r="AA49" s="291">
        <f>P49/$G$6/9</f>
        <v>1058.201058201058</v>
      </c>
      <c r="AB49" s="594"/>
      <c r="AC49" s="592">
        <f t="shared" si="7"/>
        <v>0</v>
      </c>
      <c r="AD49" s="592">
        <f t="shared" si="8"/>
        <v>200000</v>
      </c>
      <c r="AE49" s="793">
        <v>9661.6</v>
      </c>
      <c r="AF49" s="592">
        <v>250</v>
      </c>
      <c r="AG49" s="592">
        <v>0</v>
      </c>
      <c r="AH49" s="592">
        <v>0</v>
      </c>
      <c r="AI49" s="592">
        <f t="shared" si="9"/>
        <v>190088.4</v>
      </c>
      <c r="AJ49" s="591" t="s">
        <v>101</v>
      </c>
      <c r="AK49" s="591" t="s">
        <v>460</v>
      </c>
      <c r="AL49" s="595" t="s">
        <v>261</v>
      </c>
      <c r="AM49" s="591" t="s">
        <v>51</v>
      </c>
      <c r="AN49" s="596">
        <f>AI49</f>
        <v>190088.4</v>
      </c>
      <c r="AO49" s="596"/>
      <c r="AP49" s="596"/>
      <c r="AQ49" s="596"/>
      <c r="AR49" s="596"/>
      <c r="AS49" s="596">
        <f t="shared" si="10"/>
        <v>190088.4</v>
      </c>
      <c r="AT49" s="597"/>
      <c r="AU49" s="596">
        <f t="shared" si="11"/>
        <v>190088.4</v>
      </c>
      <c r="AV49" s="602">
        <f t="shared" si="12"/>
        <v>0</v>
      </c>
      <c r="AW49" s="602"/>
      <c r="AX49" s="602"/>
      <c r="AY49" s="602"/>
      <c r="AZ49" s="602">
        <v>190088</v>
      </c>
      <c r="BA49" s="602">
        <v>0</v>
      </c>
      <c r="BB49" s="602"/>
      <c r="BC49" s="602"/>
      <c r="BD49" s="602">
        <f t="shared" si="13"/>
        <v>190088</v>
      </c>
      <c r="BE49" s="603">
        <f t="shared" si="14"/>
        <v>-0.39999999999417923</v>
      </c>
      <c r="BF49" s="604" t="s">
        <v>286</v>
      </c>
      <c r="BG49" s="605">
        <f t="shared" si="20"/>
        <v>1250</v>
      </c>
      <c r="BK49" s="690"/>
    </row>
    <row r="50" spans="1:63" s="44" customFormat="1" x14ac:dyDescent="0.3">
      <c r="A50" s="546"/>
      <c r="B50" s="683">
        <v>40</v>
      </c>
      <c r="C50" s="611">
        <v>43830</v>
      </c>
      <c r="D50" s="589">
        <v>50000</v>
      </c>
      <c r="E50" s="595">
        <f t="shared" si="21"/>
        <v>4</v>
      </c>
      <c r="F50" s="589">
        <v>44</v>
      </c>
      <c r="G50" s="590">
        <v>42825</v>
      </c>
      <c r="H50" s="589" t="s">
        <v>69</v>
      </c>
      <c r="I50" s="591" t="s">
        <v>31</v>
      </c>
      <c r="J50" s="591" t="s">
        <v>32</v>
      </c>
      <c r="K50" s="591" t="s">
        <v>28</v>
      </c>
      <c r="L50" s="609" t="s">
        <v>440</v>
      </c>
      <c r="M50" s="606" t="s">
        <v>57</v>
      </c>
      <c r="N50" s="606" t="s">
        <v>277</v>
      </c>
      <c r="O50" s="589" t="s">
        <v>37</v>
      </c>
      <c r="P50" s="592">
        <f>150000+50000</f>
        <v>200000</v>
      </c>
      <c r="Q50" s="592">
        <f t="shared" si="2"/>
        <v>125000</v>
      </c>
      <c r="R50" s="592">
        <f t="shared" si="3"/>
        <v>50000</v>
      </c>
      <c r="S50" s="592">
        <f t="shared" si="4"/>
        <v>12500</v>
      </c>
      <c r="T50" s="592">
        <f t="shared" si="5"/>
        <v>12500</v>
      </c>
      <c r="U50" s="592">
        <f t="shared" si="6"/>
        <v>200000</v>
      </c>
      <c r="V50" s="592"/>
      <c r="W50" s="592"/>
      <c r="X50" s="592">
        <f>P50/$G$4*W50</f>
        <v>0</v>
      </c>
      <c r="Y50" s="291">
        <v>0</v>
      </c>
      <c r="Z50" s="296">
        <f>P50/$G$4*Y50</f>
        <v>0</v>
      </c>
      <c r="AA50" s="592">
        <f>P50/$G$4/9</f>
        <v>1111.1111111111111</v>
      </c>
      <c r="AB50" s="594"/>
      <c r="AC50" s="592">
        <f t="shared" si="7"/>
        <v>0</v>
      </c>
      <c r="AD50" s="592">
        <f t="shared" si="8"/>
        <v>200000</v>
      </c>
      <c r="AE50" s="793">
        <v>10302.6</v>
      </c>
      <c r="AF50" s="592">
        <v>250</v>
      </c>
      <c r="AG50" s="592">
        <v>0</v>
      </c>
      <c r="AH50" s="592">
        <v>0</v>
      </c>
      <c r="AI50" s="592">
        <f t="shared" si="9"/>
        <v>189447.4</v>
      </c>
      <c r="AJ50" s="591" t="s">
        <v>101</v>
      </c>
      <c r="AK50" s="591" t="s">
        <v>104</v>
      </c>
      <c r="AL50" s="595" t="s">
        <v>260</v>
      </c>
      <c r="AM50" s="591" t="s">
        <v>31</v>
      </c>
      <c r="AN50" s="596">
        <f>AI50</f>
        <v>189447.4</v>
      </c>
      <c r="AO50" s="596"/>
      <c r="AP50" s="596"/>
      <c r="AQ50" s="596"/>
      <c r="AR50" s="596"/>
      <c r="AS50" s="596">
        <f t="shared" si="10"/>
        <v>189447.4</v>
      </c>
      <c r="AT50" s="597"/>
      <c r="AU50" s="596">
        <f t="shared" si="11"/>
        <v>189447.4</v>
      </c>
      <c r="AV50" s="602">
        <f t="shared" si="12"/>
        <v>0</v>
      </c>
      <c r="AW50" s="602"/>
      <c r="AX50" s="602"/>
      <c r="AY50" s="602"/>
      <c r="AZ50" s="602">
        <v>189447</v>
      </c>
      <c r="BA50" s="602">
        <v>0</v>
      </c>
      <c r="BB50" s="602"/>
      <c r="BC50" s="602"/>
      <c r="BD50" s="602">
        <f t="shared" si="13"/>
        <v>189447</v>
      </c>
      <c r="BE50" s="603">
        <f t="shared" si="14"/>
        <v>-0.39999999999417923</v>
      </c>
      <c r="BF50" s="604" t="s">
        <v>287</v>
      </c>
      <c r="BG50" s="605">
        <f t="shared" si="20"/>
        <v>1250</v>
      </c>
      <c r="BK50" s="690"/>
    </row>
    <row r="51" spans="1:63" s="44" customFormat="1" x14ac:dyDescent="0.3">
      <c r="A51" s="546"/>
      <c r="B51" s="683">
        <v>24</v>
      </c>
      <c r="C51" s="611">
        <v>43677</v>
      </c>
      <c r="D51" s="589">
        <v>25000</v>
      </c>
      <c r="E51" s="595">
        <f t="shared" si="21"/>
        <v>9</v>
      </c>
      <c r="F51" s="589">
        <v>70</v>
      </c>
      <c r="G51" s="590">
        <v>42808</v>
      </c>
      <c r="H51" s="589" t="s">
        <v>69</v>
      </c>
      <c r="I51" s="591" t="s">
        <v>72</v>
      </c>
      <c r="J51" s="591" t="s">
        <v>56</v>
      </c>
      <c r="K51" s="591" t="s">
        <v>34</v>
      </c>
      <c r="L51" s="612" t="s">
        <v>440</v>
      </c>
      <c r="M51" s="608" t="s">
        <v>57</v>
      </c>
      <c r="N51" s="608" t="s">
        <v>29</v>
      </c>
      <c r="O51" s="589" t="s">
        <v>37</v>
      </c>
      <c r="P51" s="592">
        <v>125000</v>
      </c>
      <c r="Q51" s="592">
        <f t="shared" si="2"/>
        <v>78125</v>
      </c>
      <c r="R51" s="592">
        <f t="shared" si="3"/>
        <v>31250</v>
      </c>
      <c r="S51" s="592">
        <f t="shared" si="4"/>
        <v>7812.5</v>
      </c>
      <c r="T51" s="592">
        <f>10/100*Q51+85000</f>
        <v>92812.5</v>
      </c>
      <c r="U51" s="592">
        <f t="shared" si="6"/>
        <v>210000</v>
      </c>
      <c r="V51" s="592"/>
      <c r="W51" s="592"/>
      <c r="X51" s="291">
        <f>P51/$G$4*W51</f>
        <v>0</v>
      </c>
      <c r="Y51" s="291">
        <v>0</v>
      </c>
      <c r="Z51" s="296">
        <f>P51/$G$4*Y51</f>
        <v>0</v>
      </c>
      <c r="AA51" s="291">
        <f>P51/$G$4/9</f>
        <v>694.44444444444446</v>
      </c>
      <c r="AB51" s="594"/>
      <c r="AC51" s="592">
        <f t="shared" si="7"/>
        <v>0</v>
      </c>
      <c r="AD51" s="592">
        <f t="shared" si="8"/>
        <v>210000</v>
      </c>
      <c r="AE51" s="793">
        <v>1941.2</v>
      </c>
      <c r="AF51" s="592">
        <v>250</v>
      </c>
      <c r="AG51" s="592">
        <v>85000</v>
      </c>
      <c r="AH51" s="592">
        <v>0</v>
      </c>
      <c r="AI51" s="592">
        <f t="shared" si="9"/>
        <v>122808.79999999999</v>
      </c>
      <c r="AJ51" s="591" t="s">
        <v>101</v>
      </c>
      <c r="AK51" s="591" t="s">
        <v>106</v>
      </c>
      <c r="AL51" s="595" t="s">
        <v>254</v>
      </c>
      <c r="AM51" s="591" t="s">
        <v>264</v>
      </c>
      <c r="AN51" s="596">
        <f>AI51</f>
        <v>122808.79999999999</v>
      </c>
      <c r="AO51" s="596"/>
      <c r="AP51" s="596"/>
      <c r="AQ51" s="596"/>
      <c r="AR51" s="596"/>
      <c r="AS51" s="596">
        <f t="shared" si="10"/>
        <v>122808.79999999999</v>
      </c>
      <c r="AT51" s="597"/>
      <c r="AU51" s="596">
        <f t="shared" si="11"/>
        <v>122808.79999999999</v>
      </c>
      <c r="AV51" s="602">
        <f t="shared" si="12"/>
        <v>0</v>
      </c>
      <c r="AW51" s="602"/>
      <c r="AX51" s="602"/>
      <c r="AY51" s="602"/>
      <c r="AZ51" s="602">
        <v>122809</v>
      </c>
      <c r="BA51" s="602">
        <v>0</v>
      </c>
      <c r="BB51" s="602"/>
      <c r="BC51" s="602"/>
      <c r="BD51" s="602">
        <f t="shared" si="13"/>
        <v>122809</v>
      </c>
      <c r="BE51" s="603">
        <f t="shared" si="14"/>
        <v>0.20000000001164153</v>
      </c>
      <c r="BF51" s="604" t="s">
        <v>287</v>
      </c>
      <c r="BG51" s="605">
        <f t="shared" si="20"/>
        <v>1250</v>
      </c>
      <c r="BK51" s="690"/>
    </row>
    <row r="52" spans="1:63" s="44" customFormat="1" x14ac:dyDescent="0.3">
      <c r="A52" s="546"/>
      <c r="B52" s="683">
        <v>17</v>
      </c>
      <c r="C52" s="611">
        <v>43555</v>
      </c>
      <c r="D52" s="589">
        <v>50000</v>
      </c>
      <c r="E52" s="595">
        <f t="shared" si="21"/>
        <v>13</v>
      </c>
      <c r="F52" s="589">
        <v>18</v>
      </c>
      <c r="G52" s="590">
        <v>42618</v>
      </c>
      <c r="H52" s="589" t="s">
        <v>69</v>
      </c>
      <c r="I52" s="591" t="s">
        <v>46</v>
      </c>
      <c r="J52" s="591" t="s">
        <v>63</v>
      </c>
      <c r="K52" s="591" t="s">
        <v>65</v>
      </c>
      <c r="L52" s="612" t="s">
        <v>440</v>
      </c>
      <c r="M52" s="608" t="s">
        <v>57</v>
      </c>
      <c r="N52" s="608" t="s">
        <v>59</v>
      </c>
      <c r="O52" s="589" t="s">
        <v>37</v>
      </c>
      <c r="P52" s="592">
        <f>150000+50000</f>
        <v>200000</v>
      </c>
      <c r="Q52" s="592">
        <f t="shared" si="2"/>
        <v>125000</v>
      </c>
      <c r="R52" s="592">
        <f t="shared" si="3"/>
        <v>50000</v>
      </c>
      <c r="S52" s="592">
        <f t="shared" si="4"/>
        <v>12500</v>
      </c>
      <c r="T52" s="592">
        <f>10/100*Q52+(75000)</f>
        <v>87500</v>
      </c>
      <c r="U52" s="592">
        <f t="shared" si="6"/>
        <v>275000</v>
      </c>
      <c r="V52" s="592"/>
      <c r="W52" s="592"/>
      <c r="X52" s="592">
        <f>P52/$G$3*W52</f>
        <v>0</v>
      </c>
      <c r="Y52" s="291">
        <v>0</v>
      </c>
      <c r="Z52" s="593">
        <f>P52/$G$3*Y52</f>
        <v>0</v>
      </c>
      <c r="AA52" s="592">
        <f>P52/$G$3/9</f>
        <v>1169.5906432748538</v>
      </c>
      <c r="AB52" s="594"/>
      <c r="AC52" s="592">
        <f t="shared" si="7"/>
        <v>0</v>
      </c>
      <c r="AD52" s="592">
        <f t="shared" si="8"/>
        <v>275000</v>
      </c>
      <c r="AE52" s="793">
        <v>9790</v>
      </c>
      <c r="AF52" s="592">
        <v>250</v>
      </c>
      <c r="AG52" s="592">
        <v>75000</v>
      </c>
      <c r="AH52" s="592">
        <v>0</v>
      </c>
      <c r="AI52" s="592">
        <f t="shared" si="9"/>
        <v>189960</v>
      </c>
      <c r="AJ52" s="591" t="s">
        <v>101</v>
      </c>
      <c r="AK52" s="591" t="s">
        <v>105</v>
      </c>
      <c r="AL52" s="595" t="s">
        <v>255</v>
      </c>
      <c r="AM52" s="591" t="s">
        <v>265</v>
      </c>
      <c r="AN52" s="596">
        <f>AI52</f>
        <v>189960</v>
      </c>
      <c r="AO52" s="596"/>
      <c r="AP52" s="596"/>
      <c r="AQ52" s="596"/>
      <c r="AR52" s="596"/>
      <c r="AS52" s="596">
        <f t="shared" si="10"/>
        <v>189960</v>
      </c>
      <c r="AT52" s="597"/>
      <c r="AU52" s="596">
        <f t="shared" si="11"/>
        <v>189960</v>
      </c>
      <c r="AV52" s="602">
        <f t="shared" si="12"/>
        <v>0</v>
      </c>
      <c r="AW52" s="602"/>
      <c r="AX52" s="602"/>
      <c r="AY52" s="602"/>
      <c r="AZ52" s="602">
        <v>189960</v>
      </c>
      <c r="BA52" s="602">
        <v>0</v>
      </c>
      <c r="BB52" s="602"/>
      <c r="BC52" s="602"/>
      <c r="BD52" s="602">
        <f t="shared" si="13"/>
        <v>189960</v>
      </c>
      <c r="BE52" s="603">
        <f t="shared" si="14"/>
        <v>0</v>
      </c>
      <c r="BF52" s="604" t="s">
        <v>285</v>
      </c>
      <c r="BG52" s="605">
        <f t="shared" si="20"/>
        <v>1250</v>
      </c>
      <c r="BK52" s="690"/>
    </row>
    <row r="53" spans="1:63" s="44" customFormat="1" x14ac:dyDescent="0.3">
      <c r="A53" s="546"/>
      <c r="B53" s="683"/>
      <c r="C53" s="611"/>
      <c r="D53" s="589"/>
      <c r="E53" s="595"/>
      <c r="F53" s="589">
        <v>80</v>
      </c>
      <c r="G53" s="590"/>
      <c r="H53" s="589"/>
      <c r="I53" s="591" t="s">
        <v>577</v>
      </c>
      <c r="J53" s="591" t="s">
        <v>32</v>
      </c>
      <c r="K53" s="591"/>
      <c r="L53" s="612"/>
      <c r="M53" s="608" t="s">
        <v>183</v>
      </c>
      <c r="N53" s="608" t="s">
        <v>183</v>
      </c>
      <c r="O53" s="589"/>
      <c r="P53" s="592">
        <v>175000</v>
      </c>
      <c r="Q53" s="592">
        <f>P53/160%</f>
        <v>109375</v>
      </c>
      <c r="R53" s="592">
        <f>40/100*Q53</f>
        <v>43750</v>
      </c>
      <c r="S53" s="592">
        <f>10/100*Q53</f>
        <v>10937.5</v>
      </c>
      <c r="T53" s="592">
        <f>10/100*Q53</f>
        <v>10937.5</v>
      </c>
      <c r="U53" s="592">
        <f>Q53+R53+S53+T53</f>
        <v>175000</v>
      </c>
      <c r="V53" s="592"/>
      <c r="W53" s="592"/>
      <c r="X53" s="592">
        <f>P53/$G$5*W53</f>
        <v>0</v>
      </c>
      <c r="Y53" s="592"/>
      <c r="Z53" s="593">
        <f>P53/$G$5*Y53</f>
        <v>0</v>
      </c>
      <c r="AA53" s="592">
        <f>P53/$G$5/9</f>
        <v>925.92592592592598</v>
      </c>
      <c r="AB53" s="594"/>
      <c r="AC53" s="592">
        <f>AA53*AB53</f>
        <v>0</v>
      </c>
      <c r="AD53" s="592">
        <f>U53+V53+X53-Z53-AC53</f>
        <v>175000</v>
      </c>
      <c r="AE53" s="592"/>
      <c r="AF53" s="592"/>
      <c r="AG53" s="592"/>
      <c r="AH53" s="592"/>
      <c r="AI53" s="592">
        <f>AD53-AE53-AG53-AH53-AF53</f>
        <v>175000</v>
      </c>
      <c r="AJ53" s="591" t="s">
        <v>101</v>
      </c>
      <c r="AK53" s="755" t="s">
        <v>579</v>
      </c>
      <c r="AL53" s="595" t="s">
        <v>580</v>
      </c>
      <c r="AM53" s="591" t="s">
        <v>76</v>
      </c>
      <c r="AN53" s="596">
        <f>AI53</f>
        <v>175000</v>
      </c>
      <c r="AO53" s="596"/>
      <c r="AP53" s="596"/>
      <c r="AQ53" s="596"/>
      <c r="AR53" s="596"/>
      <c r="AS53" s="596">
        <f>SUM(AN53:AR53)</f>
        <v>175000</v>
      </c>
      <c r="AT53" s="597"/>
      <c r="AU53" s="596">
        <f>+AS53+AT53</f>
        <v>175000</v>
      </c>
      <c r="AV53" s="602">
        <f>+AI53-AU53</f>
        <v>0</v>
      </c>
      <c r="AW53" s="602"/>
      <c r="AX53" s="602"/>
      <c r="AY53" s="602"/>
      <c r="AZ53" s="602">
        <v>175000</v>
      </c>
      <c r="BA53" s="602"/>
      <c r="BB53" s="602"/>
      <c r="BC53" s="602"/>
      <c r="BD53" s="602">
        <f>SUM(AW53:BC53)</f>
        <v>175000</v>
      </c>
      <c r="BE53" s="603">
        <f>BD53-AU53</f>
        <v>0</v>
      </c>
      <c r="BF53" s="604"/>
      <c r="BG53" s="605">
        <f>AF53/1*5</f>
        <v>0</v>
      </c>
      <c r="BK53" s="690"/>
    </row>
    <row r="54" spans="1:63" s="44" customFormat="1" x14ac:dyDescent="0.3">
      <c r="A54" s="546"/>
      <c r="B54" s="425"/>
      <c r="C54" s="610"/>
      <c r="D54" s="425"/>
      <c r="E54" s="286"/>
      <c r="F54" s="425"/>
      <c r="G54" s="538"/>
      <c r="H54" s="425"/>
      <c r="I54" s="72"/>
      <c r="J54" s="72"/>
      <c r="K54" s="72"/>
      <c r="L54" s="285"/>
      <c r="M54" s="607"/>
      <c r="N54" s="607"/>
      <c r="O54" s="425"/>
      <c r="P54" s="433"/>
      <c r="Q54" s="433"/>
      <c r="R54" s="433"/>
      <c r="S54" s="433"/>
      <c r="T54" s="433"/>
      <c r="U54" s="433"/>
      <c r="V54" s="433"/>
      <c r="W54" s="433"/>
      <c r="X54" s="433"/>
      <c r="Y54" s="433"/>
      <c r="Z54" s="435"/>
      <c r="AA54" s="433"/>
      <c r="AB54" s="436"/>
      <c r="AC54" s="433"/>
      <c r="AD54" s="433"/>
      <c r="AE54" s="433"/>
      <c r="AF54" s="433"/>
      <c r="AG54" s="433"/>
      <c r="AH54" s="433"/>
      <c r="AI54" s="433"/>
      <c r="AJ54" s="72"/>
      <c r="AK54" s="682"/>
      <c r="AL54" s="286"/>
      <c r="AM54" s="72"/>
      <c r="AN54" s="437"/>
      <c r="AO54" s="437"/>
      <c r="AP54" s="437"/>
      <c r="AQ54" s="437"/>
      <c r="AR54" s="437"/>
      <c r="AS54" s="437"/>
      <c r="AT54" s="439"/>
      <c r="AU54" s="437"/>
      <c r="AV54" s="684"/>
      <c r="AW54" s="684"/>
      <c r="AX54" s="684"/>
      <c r="AY54" s="684"/>
      <c r="AZ54" s="684"/>
      <c r="BA54" s="684"/>
      <c r="BB54" s="684"/>
      <c r="BC54" s="684"/>
      <c r="BD54" s="684"/>
      <c r="BE54" s="685"/>
      <c r="BF54" s="686"/>
      <c r="BG54" s="687"/>
      <c r="BK54" s="690"/>
    </row>
    <row r="55" spans="1:63" s="44" customFormat="1" x14ac:dyDescent="0.3">
      <c r="A55" s="546"/>
      <c r="B55" s="425"/>
      <c r="C55" s="431"/>
      <c r="D55" s="432"/>
      <c r="E55" s="69"/>
      <c r="F55" s="425"/>
      <c r="G55" s="462"/>
      <c r="H55" s="425"/>
      <c r="I55" s="72"/>
      <c r="J55" s="72"/>
      <c r="K55" s="72"/>
      <c r="L55" s="566"/>
      <c r="M55" s="607"/>
      <c r="N55" s="607"/>
      <c r="O55" s="425"/>
      <c r="P55" s="434"/>
      <c r="Q55" s="433"/>
      <c r="R55" s="433"/>
      <c r="S55" s="433"/>
      <c r="T55" s="434"/>
      <c r="U55" s="434"/>
      <c r="V55" s="433"/>
      <c r="W55" s="433"/>
      <c r="X55" s="433"/>
      <c r="Y55" s="433"/>
      <c r="Z55" s="435"/>
      <c r="AA55" s="433"/>
      <c r="AB55" s="436"/>
      <c r="AC55" s="433"/>
      <c r="AD55" s="433"/>
      <c r="AE55" s="433"/>
      <c r="AF55" s="433"/>
      <c r="AG55" s="433"/>
      <c r="AH55" s="433"/>
      <c r="AI55" s="433"/>
      <c r="AJ55" s="72"/>
      <c r="AK55" s="72"/>
      <c r="AL55" s="286"/>
      <c r="AM55" s="72"/>
      <c r="AN55" s="437"/>
      <c r="AO55" s="437"/>
      <c r="AP55" s="437"/>
      <c r="AQ55" s="437"/>
      <c r="AR55" s="437"/>
      <c r="AS55" s="438"/>
      <c r="AT55" s="439"/>
      <c r="AU55" s="438"/>
      <c r="AV55" s="684"/>
      <c r="AW55" s="684"/>
      <c r="AX55" s="684"/>
      <c r="AY55" s="684"/>
      <c r="AZ55" s="684"/>
      <c r="BA55" s="684"/>
      <c r="BB55" s="684"/>
      <c r="BC55" s="684"/>
      <c r="BD55" s="685"/>
      <c r="BE55" s="686"/>
      <c r="BF55" s="687"/>
    </row>
    <row r="56" spans="1:63" s="44" customFormat="1" ht="14.4" thickBot="1" x14ac:dyDescent="0.35">
      <c r="A56" s="48"/>
      <c r="B56" s="47"/>
      <c r="C56" s="47"/>
      <c r="D56" s="47"/>
      <c r="E56" s="47"/>
      <c r="F56" s="48"/>
      <c r="G56" s="48"/>
      <c r="H56" s="48"/>
      <c r="I56" s="48"/>
      <c r="J56" s="48"/>
      <c r="K56" s="48"/>
      <c r="L56" s="567"/>
      <c r="M56" s="130"/>
      <c r="N56" s="130"/>
      <c r="O56" s="130"/>
      <c r="P56" s="558">
        <f t="shared" ref="P56:V56" si="24">SUBTOTAL(9,P8:P55)</f>
        <v>3212000</v>
      </c>
      <c r="Q56" s="558">
        <f t="shared" si="24"/>
        <v>2007500</v>
      </c>
      <c r="R56" s="558">
        <f t="shared" si="24"/>
        <v>803000</v>
      </c>
      <c r="S56" s="558">
        <f t="shared" si="24"/>
        <v>200750</v>
      </c>
      <c r="T56" s="558">
        <f t="shared" si="24"/>
        <v>360750</v>
      </c>
      <c r="U56" s="558">
        <f t="shared" si="24"/>
        <v>3372000</v>
      </c>
      <c r="V56" s="558">
        <f t="shared" si="24"/>
        <v>0</v>
      </c>
      <c r="W56" s="299"/>
      <c r="X56" s="558">
        <f>SUBTOTAL(9,X8:X55)</f>
        <v>0</v>
      </c>
      <c r="Y56" s="429"/>
      <c r="Z56" s="558">
        <f>SUBTOTAL(9,Z8:Z55)</f>
        <v>177395.36340852131</v>
      </c>
      <c r="AA56" s="559"/>
      <c r="AB56" s="430"/>
      <c r="AC56" s="558">
        <f t="shared" ref="AC56:AI56" si="25">SUBTOTAL(9,AC8:AC55)</f>
        <v>2192.9824561403511</v>
      </c>
      <c r="AD56" s="558">
        <f t="shared" si="25"/>
        <v>3192411.654135338</v>
      </c>
      <c r="AE56" s="558">
        <f t="shared" si="25"/>
        <v>45859.6</v>
      </c>
      <c r="AF56" s="558">
        <f t="shared" si="25"/>
        <v>2500</v>
      </c>
      <c r="AG56" s="558">
        <f t="shared" si="25"/>
        <v>177000</v>
      </c>
      <c r="AH56" s="558">
        <f t="shared" si="25"/>
        <v>25000</v>
      </c>
      <c r="AI56" s="558">
        <f t="shared" si="25"/>
        <v>2942052.0541353384</v>
      </c>
      <c r="AJ56" s="303"/>
      <c r="AK56" s="48"/>
      <c r="AL56" s="70"/>
      <c r="AM56" s="48"/>
      <c r="AN56" s="558">
        <f t="shared" ref="AN56:AU56" si="26">SUBTOTAL(9,AN8:AN55)</f>
        <v>2454431.9082706766</v>
      </c>
      <c r="AO56" s="558">
        <f t="shared" si="26"/>
        <v>0</v>
      </c>
      <c r="AP56" s="558">
        <f t="shared" si="26"/>
        <v>0</v>
      </c>
      <c r="AQ56" s="558">
        <f t="shared" si="26"/>
        <v>368103.00200501253</v>
      </c>
      <c r="AR56" s="558">
        <f t="shared" si="26"/>
        <v>94078.947368421053</v>
      </c>
      <c r="AS56" s="558">
        <f t="shared" si="26"/>
        <v>2916613.85764411</v>
      </c>
      <c r="AT56" s="558">
        <f t="shared" si="26"/>
        <v>25438.596491228069</v>
      </c>
      <c r="AU56" s="558">
        <f t="shared" si="26"/>
        <v>2942052.4541353383</v>
      </c>
      <c r="AV56" s="48"/>
      <c r="AW56" s="558">
        <f t="shared" ref="AW56:BG56" si="27">SUBTOTAL(9,AW8:AW55)</f>
        <v>106789</v>
      </c>
      <c r="AX56" s="558">
        <f t="shared" si="27"/>
        <v>44461</v>
      </c>
      <c r="AY56" s="558">
        <f t="shared" si="27"/>
        <v>94079</v>
      </c>
      <c r="AZ56" s="558">
        <f t="shared" si="27"/>
        <v>2340000</v>
      </c>
      <c r="BA56" s="558">
        <f t="shared" si="27"/>
        <v>323641</v>
      </c>
      <c r="BB56" s="558">
        <f t="shared" si="27"/>
        <v>7645</v>
      </c>
      <c r="BC56" s="558">
        <f t="shared" si="27"/>
        <v>25439</v>
      </c>
      <c r="BD56" s="558">
        <f t="shared" si="27"/>
        <v>2942054</v>
      </c>
      <c r="BE56" s="130"/>
      <c r="BF56" s="558">
        <f t="shared" si="27"/>
        <v>0</v>
      </c>
      <c r="BG56" s="558">
        <f t="shared" si="27"/>
        <v>12500</v>
      </c>
    </row>
    <row r="57" spans="1:63" s="44" customFormat="1" ht="13.8" thickTop="1" x14ac:dyDescent="0.3">
      <c r="A57" s="48"/>
      <c r="B57" s="47"/>
      <c r="C57" s="47"/>
      <c r="D57" s="47"/>
      <c r="E57" s="47"/>
      <c r="F57" s="48"/>
      <c r="G57" s="48"/>
      <c r="H57" s="48"/>
      <c r="I57" s="48"/>
      <c r="J57" s="48"/>
      <c r="K57" s="48"/>
      <c r="L57" s="567"/>
      <c r="M57" s="130"/>
      <c r="N57" s="130"/>
      <c r="O57" s="130"/>
      <c r="P57" s="132"/>
      <c r="Q57" s="132"/>
      <c r="R57" s="132"/>
      <c r="S57" s="132"/>
      <c r="T57" s="132"/>
      <c r="U57" s="132"/>
      <c r="V57" s="49"/>
      <c r="W57" s="299"/>
      <c r="X57" s="132"/>
      <c r="Y57" s="299"/>
      <c r="Z57" s="534"/>
      <c r="AA57" s="132"/>
      <c r="AB57" s="300"/>
      <c r="AC57" s="132"/>
      <c r="AD57" s="132"/>
      <c r="AE57" s="132"/>
      <c r="AF57" s="132"/>
      <c r="AG57" s="132"/>
      <c r="AH57" s="132"/>
      <c r="AI57" s="132"/>
      <c r="AJ57" s="303"/>
      <c r="AK57" s="48"/>
      <c r="AL57" s="70"/>
      <c r="AM57" s="48"/>
      <c r="AN57" s="132"/>
      <c r="AO57" s="132"/>
      <c r="AP57" s="132"/>
      <c r="AQ57" s="132"/>
      <c r="AR57" s="132"/>
      <c r="AS57" s="132"/>
      <c r="AT57" s="132"/>
      <c r="AU57" s="132">
        <f>+AU56-AI56</f>
        <v>0.39999999990686774</v>
      </c>
      <c r="AV57" s="48"/>
      <c r="AW57" s="132"/>
      <c r="AX57" s="132"/>
      <c r="AY57" s="132"/>
      <c r="AZ57" s="132"/>
      <c r="BA57" s="132"/>
      <c r="BB57" s="132"/>
      <c r="BC57" s="132">
        <f>+AT56-BC56</f>
        <v>-0.40350877193122869</v>
      </c>
      <c r="BD57" s="712">
        <f>AU56-BD56</f>
        <v>-1.5458646616898477</v>
      </c>
      <c r="BE57" s="130"/>
      <c r="BF57" s="132"/>
    </row>
    <row r="58" spans="1:63" s="44" customFormat="1" x14ac:dyDescent="0.3">
      <c r="A58" s="48"/>
      <c r="B58" s="47"/>
      <c r="C58" s="47"/>
      <c r="D58" s="47"/>
      <c r="E58" s="47"/>
      <c r="F58" s="48"/>
      <c r="G58" s="48"/>
      <c r="H58" s="48"/>
      <c r="I58" s="48"/>
      <c r="J58" s="48"/>
      <c r="K58" s="48"/>
      <c r="L58" s="567"/>
      <c r="M58" s="130"/>
      <c r="N58" s="130"/>
      <c r="O58" s="130"/>
      <c r="P58" s="49">
        <f>'Payroll DES Apr24'!P18+'Payroll HW Apr24'!P54+'Payroll Support Apr24'!P17-P56</f>
        <v>0</v>
      </c>
      <c r="Q58" s="49">
        <f>'Payroll DES Apr24'!Q18+'Payroll HW Apr24'!Q54+'Payroll Support Apr24'!Q17-Q56</f>
        <v>0</v>
      </c>
      <c r="R58" s="49">
        <f>'Payroll DES Apr24'!R18+'Payroll HW Apr24'!R54+'Payroll Support Apr24'!R17-R56</f>
        <v>0</v>
      </c>
      <c r="S58" s="49">
        <f>'Payroll DES Apr24'!S18+'Payroll HW Apr24'!S54+'Payroll Support Apr24'!S17-S56</f>
        <v>0</v>
      </c>
      <c r="T58" s="49">
        <f>'Payroll DES Apr24'!T18+'Payroll HW Apr24'!T54+'Payroll Support Apr24'!T17-T56</f>
        <v>0</v>
      </c>
      <c r="U58" s="49">
        <f>'Payroll DES Apr24'!U18+'Payroll HW Apr24'!U54+'Payroll Support Apr24'!U17-U56</f>
        <v>0</v>
      </c>
      <c r="V58" s="49">
        <f>'Payroll DES Apr24'!V18+'Payroll HW Apr24'!V54+'Payroll Support Apr24'!V17-V56</f>
        <v>0</v>
      </c>
      <c r="W58" s="49"/>
      <c r="X58" s="49">
        <f>'Payroll DES Apr24'!X18+'Payroll HW Apr24'!X54+'Payroll Support Apr24'!X17-X56</f>
        <v>0</v>
      </c>
      <c r="Y58" s="49"/>
      <c r="Z58" s="49">
        <f>'Payroll DES Apr24'!Z18+'Payroll HW Apr24'!Z54+'Payroll Support Apr24'!Z17-Z56</f>
        <v>0</v>
      </c>
      <c r="AA58" s="49"/>
      <c r="AB58" s="49"/>
      <c r="AC58" s="49">
        <f>'Payroll DES Apr24'!AC18+'Payroll HW Apr24'!AC54+'Payroll Support Apr24'!AC17-AC56</f>
        <v>0</v>
      </c>
      <c r="AD58" s="49">
        <f>'Payroll DES Apr24'!AD18+'Payroll HW Apr24'!AD54+'Payroll Support Apr24'!AD17-AD56</f>
        <v>0</v>
      </c>
      <c r="AE58" s="49">
        <f>'Payroll DES Apr24'!AE18+'Payroll HW Apr24'!AE54+'Payroll Support Apr24'!AE17-AE56</f>
        <v>0</v>
      </c>
      <c r="AF58" s="49">
        <f>'Payroll DES Apr24'!AF18+'Payroll HW Apr24'!AF54+'Payroll Support Apr24'!AF17-AF56</f>
        <v>0</v>
      </c>
      <c r="AG58" s="49">
        <f>'Payroll DES Apr24'!AG18+'Payroll HW Apr24'!AG54+'Payroll Support Apr24'!AG17-AG56</f>
        <v>0</v>
      </c>
      <c r="AH58" s="49">
        <f>'Payroll DES Apr24'!AH18+'Payroll HW Apr24'!AH54+'Payroll Support Apr24'!AH17-AH56</f>
        <v>0</v>
      </c>
      <c r="AI58" s="49">
        <f>'Payroll DES Apr24'!AI18+'Payroll HW Apr24'!AI54+'Payroll Support Apr24'!AI17-AI56</f>
        <v>0</v>
      </c>
      <c r="AJ58" s="303"/>
      <c r="AK58" s="48"/>
      <c r="AL58" s="70"/>
      <c r="AM58" s="48"/>
      <c r="AN58" s="49">
        <f>'Payroll DES Apr24'!AN18+'Payroll HW Apr24'!AN54+'Payroll Support Apr24'!AN17-AN56</f>
        <v>0</v>
      </c>
      <c r="AO58" s="49">
        <f>'Payroll DES Apr24'!AO18+'Payroll HW Apr24'!AO54+'Payroll Support Apr24'!AO17-AO56</f>
        <v>0</v>
      </c>
      <c r="AP58" s="49">
        <f>'Payroll DES Apr24'!AP18+'Payroll HW Apr24'!AP54+'Payroll Support Apr24'!AP17-AP56</f>
        <v>0</v>
      </c>
      <c r="AQ58" s="49">
        <f>'Payroll DES Apr24'!AQ18+'Payroll HW Apr24'!AQ54+'Payroll Support Apr24'!AQ17-AQ56</f>
        <v>0</v>
      </c>
      <c r="AR58" s="49">
        <f>'Payroll DES Apr24'!AR18+'Payroll HW Apr24'!AR54+'Payroll Support Apr24'!AR17-AR56</f>
        <v>0</v>
      </c>
      <c r="AS58" s="49">
        <f>'Payroll DES Apr24'!AS18+'Payroll HW Apr24'!AS54+'Payroll Support Apr24'!AS17-AS56</f>
        <v>0</v>
      </c>
      <c r="AT58" s="49">
        <f>'Payroll DES Apr24'!AT18+'Payroll HW Apr24'!AT54+'Payroll Support Apr24'!AT17-AT56</f>
        <v>0</v>
      </c>
      <c r="AU58" s="49">
        <f>'Payroll DES Apr24'!AU18+'Payroll HW Apr24'!AU54+'Payroll Support Apr24'!AU17-AU56</f>
        <v>0</v>
      </c>
      <c r="AV58" s="48"/>
      <c r="AW58" s="48"/>
      <c r="AX58" s="48"/>
      <c r="AY58" s="48"/>
      <c r="AZ58" s="48"/>
      <c r="BA58" s="49"/>
      <c r="BB58" s="48"/>
      <c r="BC58" s="561"/>
      <c r="BD58" s="560"/>
      <c r="BE58" s="130"/>
    </row>
    <row r="59" spans="1:63" s="44" customFormat="1" x14ac:dyDescent="0.3">
      <c r="A59" s="48"/>
      <c r="B59" s="47"/>
      <c r="C59" s="47"/>
      <c r="D59" s="47"/>
      <c r="E59" s="47"/>
      <c r="F59" s="48"/>
      <c r="G59" s="48"/>
      <c r="H59" s="48"/>
      <c r="I59" s="48"/>
      <c r="J59" s="48"/>
      <c r="K59" s="48"/>
      <c r="L59" s="567"/>
      <c r="M59" s="130"/>
      <c r="N59" s="130"/>
      <c r="O59" s="130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308"/>
      <c r="AA59" s="49"/>
      <c r="AB59" s="49"/>
      <c r="AC59" s="49"/>
      <c r="AD59" s="49"/>
      <c r="AE59" s="49"/>
      <c r="AF59" s="49"/>
      <c r="AG59" s="49"/>
      <c r="AH59" s="49"/>
      <c r="AI59" s="49"/>
      <c r="AJ59" s="303"/>
      <c r="AK59" s="48"/>
      <c r="AL59" s="70"/>
      <c r="AM59" s="48"/>
      <c r="AN59" s="49"/>
      <c r="AO59" s="49"/>
      <c r="AP59" s="49"/>
      <c r="AQ59" s="49"/>
      <c r="AR59" s="49"/>
      <c r="AS59" s="49"/>
      <c r="AT59" s="49"/>
      <c r="AU59" s="132"/>
      <c r="AV59" s="48"/>
      <c r="AW59" s="49"/>
      <c r="AX59" s="49"/>
      <c r="AY59" s="48"/>
      <c r="AZ59" s="48"/>
      <c r="BA59" s="49"/>
      <c r="BB59" s="48"/>
      <c r="BC59" s="561"/>
      <c r="BD59" s="560"/>
      <c r="BE59" s="130"/>
    </row>
    <row r="60" spans="1:63" x14ac:dyDescent="0.3">
      <c r="U60" s="49"/>
      <c r="X60" s="563"/>
      <c r="Y60" s="561"/>
      <c r="AI60" s="49">
        <f>+AI56-AI12</f>
        <v>2932841.5278195487</v>
      </c>
      <c r="AL60" s="562"/>
      <c r="AM60" s="562"/>
      <c r="AN60" s="562"/>
      <c r="AS60" s="131">
        <v>2650832</v>
      </c>
      <c r="BA60" s="49"/>
    </row>
    <row r="61" spans="1:63" x14ac:dyDescent="0.3">
      <c r="AJ61" s="758"/>
      <c r="AL61" s="562"/>
      <c r="AM61" s="562"/>
      <c r="AN61" s="562"/>
      <c r="AS61" s="132"/>
      <c r="BA61" s="49"/>
    </row>
    <row r="62" spans="1:63" x14ac:dyDescent="0.3">
      <c r="Y62" s="564"/>
      <c r="AI62" s="49">
        <f>2863764-25000+AR56</f>
        <v>2932842.9473684211</v>
      </c>
      <c r="AL62" s="562"/>
      <c r="AM62" s="562"/>
      <c r="AN62" s="562"/>
      <c r="AS62" s="132">
        <f>+AS56-AS60</f>
        <v>265781.85764410999</v>
      </c>
    </row>
    <row r="63" spans="1:63" x14ac:dyDescent="0.3">
      <c r="B63" s="130"/>
      <c r="AL63" s="48"/>
    </row>
    <row r="64" spans="1:63" x14ac:dyDescent="0.3">
      <c r="AI64" s="49">
        <f>+AI60-AI62</f>
        <v>-1.4195488723926246</v>
      </c>
    </row>
    <row r="74" spans="9:44" x14ac:dyDescent="0.3">
      <c r="AR74" s="69"/>
    </row>
    <row r="75" spans="9:44" x14ac:dyDescent="0.3">
      <c r="AO75" s="71"/>
      <c r="AR75" s="46"/>
    </row>
    <row r="76" spans="9:44" x14ac:dyDescent="0.3">
      <c r="I76" s="45"/>
      <c r="AO76" s="71"/>
      <c r="AR76" s="46"/>
    </row>
    <row r="77" spans="9:44" x14ac:dyDescent="0.3">
      <c r="I77" s="45"/>
      <c r="AO77" s="71"/>
      <c r="AR77" s="46"/>
    </row>
    <row r="78" spans="9:44" x14ac:dyDescent="0.3">
      <c r="I78" s="45"/>
      <c r="AO78" s="556"/>
      <c r="AR78" s="46"/>
    </row>
    <row r="79" spans="9:44" x14ac:dyDescent="0.3">
      <c r="I79" s="45"/>
      <c r="AR79" s="132"/>
    </row>
    <row r="80" spans="9:44" x14ac:dyDescent="0.3">
      <c r="AO80" s="71"/>
      <c r="AR80" s="46"/>
    </row>
    <row r="81" spans="44:44" x14ac:dyDescent="0.3">
      <c r="AR81" s="132"/>
    </row>
    <row r="117" spans="6:6" ht="14.4" x14ac:dyDescent="0.3">
      <c r="F117"/>
    </row>
    <row r="118" spans="6:6" ht="14.4" x14ac:dyDescent="0.3">
      <c r="F118"/>
    </row>
  </sheetData>
  <sortState xmlns:xlrd2="http://schemas.microsoft.com/office/spreadsheetml/2017/richdata2" ref="A8:BH46">
    <sortCondition ref="J8:J46"/>
    <sortCondition ref="N8:N46"/>
    <sortCondition ref="M8:M46"/>
    <sortCondition descending="1" ref="P8:P46"/>
  </sortState>
  <mergeCells count="1">
    <mergeCell ref="AW5:BB5"/>
  </mergeCells>
  <phoneticPr fontId="64" type="noConversion"/>
  <conditionalFormatting sqref="F1:F1048576">
    <cfRule type="duplicateValues" dxfId="20" priority="3"/>
  </conditionalFormatting>
  <conditionalFormatting sqref="AK7:AK54">
    <cfRule type="duplicateValues" dxfId="19" priority="138"/>
  </conditionalFormatting>
  <conditionalFormatting sqref="AK47:AK54">
    <cfRule type="duplicateValues" dxfId="18" priority="1"/>
  </conditionalFormatting>
  <conditionalFormatting sqref="AL7:AL54">
    <cfRule type="duplicateValues" dxfId="17" priority="140"/>
  </conditionalFormatting>
  <conditionalFormatting sqref="AL47:AL54">
    <cfRule type="duplicateValues" dxfId="16" priority="2"/>
  </conditionalFormatting>
  <pageMargins left="0.7" right="0.7" top="0.25" bottom="0.25" header="0.3" footer="0.3"/>
  <pageSetup scale="42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D9621-8B71-4FF3-B5AC-ED96CEA2DB4E}">
  <dimension ref="B2:K52"/>
  <sheetViews>
    <sheetView topLeftCell="A31" zoomScale="90" zoomScaleNormal="90" workbookViewId="0">
      <selection activeCell="K50" sqref="K50"/>
    </sheetView>
  </sheetViews>
  <sheetFormatPr defaultRowHeight="13.8" x14ac:dyDescent="0.25"/>
  <cols>
    <col min="1" max="1" width="12.21875" style="577" customWidth="1"/>
    <col min="2" max="3" width="8.88671875" style="577"/>
    <col min="4" max="9" width="12.44140625" style="577" customWidth="1"/>
    <col min="10" max="10" width="8.88671875" style="577"/>
    <col min="11" max="11" width="13.77734375" style="579" bestFit="1" customWidth="1"/>
    <col min="12" max="16384" width="8.88671875" style="577"/>
  </cols>
  <sheetData>
    <row r="2" spans="2:11" ht="41.4" x14ac:dyDescent="0.25">
      <c r="D2" s="578" t="s">
        <v>7</v>
      </c>
      <c r="E2" s="578" t="s">
        <v>537</v>
      </c>
      <c r="F2" s="582" t="s">
        <v>19</v>
      </c>
      <c r="G2" s="578" t="s">
        <v>23</v>
      </c>
      <c r="H2" s="578" t="s">
        <v>405</v>
      </c>
      <c r="I2" s="582" t="s">
        <v>540</v>
      </c>
    </row>
    <row r="3" spans="2:11" x14ac:dyDescent="0.25">
      <c r="B3" s="613" t="str" cm="1">
        <f t="array" ref="B3:C9">_xlfn.UNIQUE(Master[MCS]:Master[BRAND])</f>
        <v>HW</v>
      </c>
      <c r="C3" s="613" t="str">
        <v>BNS</v>
      </c>
      <c r="D3" s="579">
        <f>SUMIFS(Master[Gross Salary],Master[MCS],B3,Master[BRAND],C3)</f>
        <v>130000</v>
      </c>
      <c r="E3" s="579">
        <f>SUMIFS(Master[Gross salary with Conveyance],Master[MCS],B3,Master[BRAND],C3)</f>
        <v>130000</v>
      </c>
      <c r="F3" s="583">
        <f>SUMIFS(Master[Net Gross],Master[MCS],B3,Master[BRAND],C3)</f>
        <v>130000</v>
      </c>
      <c r="G3" s="579">
        <f>SUMIFS(Master[Net Pay],Master[MCS],B3,Master[BRAND],C3)</f>
        <v>128209.75</v>
      </c>
      <c r="H3" s="579">
        <f>SUMIFS(Master[EOBI Employers'' Contribution],Master[MCS],B3,Master[BRAND],C3)</f>
        <v>0</v>
      </c>
      <c r="I3" s="583">
        <f>F3+H3</f>
        <v>130000</v>
      </c>
      <c r="J3" s="579"/>
    </row>
    <row r="4" spans="2:11" x14ac:dyDescent="0.25">
      <c r="B4" s="613" t="str">
        <v>HW</v>
      </c>
      <c r="C4" s="613" t="str">
        <v>ALL</v>
      </c>
      <c r="D4" s="579">
        <f>SUMIFS(Master[Gross Salary],Master[MCS],B4,Master[BRAND],C4)</f>
        <v>570000</v>
      </c>
      <c r="E4" s="579">
        <f>SUMIFS(Master[Gross salary with Conveyance],Master[MCS],B4,Master[BRAND],C4)</f>
        <v>645000</v>
      </c>
      <c r="F4" s="583">
        <f>SUMIFS(Master[Net Gross],Master[MCS],B4,Master[BRAND],C4)</f>
        <v>592017.5438596491</v>
      </c>
      <c r="G4" s="579">
        <f>SUMIFS(Master[Net Pay],Master[MCS],B4,Master[BRAND],C4)</f>
        <v>501977.5438596491</v>
      </c>
      <c r="H4" s="579">
        <f>SUMIFS(Master[EOBI Employers'' Contribution],Master[MCS],B4,Master[BRAND],C4)</f>
        <v>1250</v>
      </c>
      <c r="I4" s="583">
        <f t="shared" ref="I4:I10" si="0">F4+H4</f>
        <v>593267.5438596491</v>
      </c>
      <c r="J4" s="579"/>
    </row>
    <row r="5" spans="2:11" x14ac:dyDescent="0.25">
      <c r="B5" s="613" t="str">
        <v>HW</v>
      </c>
      <c r="C5" s="613" t="str">
        <v>BD</v>
      </c>
      <c r="D5" s="579">
        <f>SUMIFS(Master[Gross Salary],Master[MCS],B5,Master[BRAND],C5)</f>
        <v>525000</v>
      </c>
      <c r="E5" s="579">
        <f>SUMIFS(Master[Gross salary with Conveyance],Master[MCS],B5,Master[BRAND],C5)</f>
        <v>610000</v>
      </c>
      <c r="F5" s="583">
        <f>SUMIFS(Master[Net Gross],Master[MCS],B5,Master[BRAND],C5)</f>
        <v>560750</v>
      </c>
      <c r="G5" s="579">
        <f>SUMIFS(Master[Net Pay],Master[MCS],B5,Master[BRAND],C5)</f>
        <v>471908.7</v>
      </c>
      <c r="H5" s="579">
        <f>SUMIFS(Master[EOBI Employers'' Contribution],Master[MCS],B5,Master[BRAND],C5)</f>
        <v>2500</v>
      </c>
      <c r="I5" s="583">
        <f t="shared" si="0"/>
        <v>563250</v>
      </c>
      <c r="J5" s="579"/>
    </row>
    <row r="6" spans="2:11" x14ac:dyDescent="0.25">
      <c r="B6" s="613" t="str">
        <v>ALL</v>
      </c>
      <c r="C6" s="613" t="str">
        <v>ALL</v>
      </c>
      <c r="D6" s="579">
        <f>SUMIFS(Master[Gross Salary],Master[MCS],B6,Master[BRAND],C6)</f>
        <v>657000</v>
      </c>
      <c r="E6" s="579">
        <f>SUMIFS(Master[Gross salary with Conveyance],Master[MCS],B6,Master[BRAND],C6)</f>
        <v>657000</v>
      </c>
      <c r="F6" s="583">
        <f>SUMIFS(Master[Net Gross],Master[MCS],B6,Master[BRAND],C6)</f>
        <v>612263.15789473685</v>
      </c>
      <c r="G6" s="579">
        <f>SUMIFS(Master[Net Pay],Master[MCS],B6,Master[BRAND],C6)</f>
        <v>579238.95789473678</v>
      </c>
      <c r="H6" s="579">
        <f>SUMIFS(Master[EOBI Employers'' Contribution],Master[MCS],B6,Master[BRAND],C6)</f>
        <v>3750</v>
      </c>
      <c r="I6" s="583">
        <f t="shared" si="0"/>
        <v>616013.15789473685</v>
      </c>
      <c r="J6" s="579"/>
    </row>
    <row r="7" spans="2:11" x14ac:dyDescent="0.25">
      <c r="B7" s="613" t="str">
        <v>HW</v>
      </c>
      <c r="C7" s="613" t="str">
        <v>GIT</v>
      </c>
      <c r="D7" s="579">
        <f>SUMIFS(Master[Gross Salary],Master[MCS],B7,Master[BRAND],C7)</f>
        <v>495000</v>
      </c>
      <c r="E7" s="579">
        <f>SUMIFS(Master[Gross salary with Conveyance],Master[MCS],B7,Master[BRAND],C7)</f>
        <v>495000</v>
      </c>
      <c r="F7" s="583">
        <f>SUMIFS(Master[Net Gross],Master[MCS],B7,Master[BRAND],C7)</f>
        <v>490952.38095238095</v>
      </c>
      <c r="G7" s="579">
        <f>SUMIFS(Master[Net Pay],Master[MCS],B7,Master[BRAND],C7)</f>
        <v>479906.53095238097</v>
      </c>
      <c r="H7" s="579">
        <f>SUMIFS(Master[EOBI Employers'' Contribution],Master[MCS],B7,Master[BRAND],C7)</f>
        <v>1250</v>
      </c>
      <c r="I7" s="583">
        <f t="shared" si="0"/>
        <v>492202.38095238095</v>
      </c>
      <c r="J7" s="579"/>
    </row>
    <row r="8" spans="2:11" x14ac:dyDescent="0.25">
      <c r="B8" s="613" t="str">
        <v>Portal</v>
      </c>
      <c r="C8" s="613" t="str">
        <v>Portal</v>
      </c>
      <c r="D8" s="579">
        <f>SUMIFS(Master[Gross Salary],Master[MCS],B8,Master[BRAND],C8)</f>
        <v>275000</v>
      </c>
      <c r="E8" s="579">
        <f>SUMIFS(Master[Gross salary with Conveyance],Master[MCS],B8,Master[BRAND],C8)</f>
        <v>275000</v>
      </c>
      <c r="F8" s="583">
        <f>SUMIFS(Master[Net Gross],Master[MCS],B8,Master[BRAND],C8)</f>
        <v>246428.57142857142</v>
      </c>
      <c r="G8" s="579">
        <f>SUMIFS(Master[Net Pay],Master[MCS],B8,Master[BRAND],C8)</f>
        <v>246428.57142857142</v>
      </c>
      <c r="H8" s="579">
        <f>SUMIFS(Master[EOBI Employers'' Contribution],Master[MCS],B8,Master[BRAND],C8)</f>
        <v>0</v>
      </c>
      <c r="I8" s="583">
        <f t="shared" si="0"/>
        <v>246428.57142857142</v>
      </c>
      <c r="J8" s="579"/>
    </row>
    <row r="9" spans="2:11" x14ac:dyDescent="0.25">
      <c r="B9" s="577" t="str">
        <v>HW</v>
      </c>
      <c r="C9" s="577" t="str">
        <v>ITN</v>
      </c>
      <c r="D9" s="579">
        <f>SUMIFS(Master[Gross Salary],Master[MCS],B9,Master[BRAND],C9)</f>
        <v>560000</v>
      </c>
      <c r="E9" s="579">
        <f>SUMIFS(Master[Gross salary with Conveyance],Master[MCS],B9,Master[BRAND],C9)</f>
        <v>560000</v>
      </c>
      <c r="F9" s="583">
        <f>SUMIFS(Master[Net Gross],Master[MCS],B9,Master[BRAND],C9)</f>
        <v>560000</v>
      </c>
      <c r="G9" s="579">
        <f>SUMIFS(Master[Net Pay],Master[MCS],B9,Master[BRAND],C9)</f>
        <v>534382</v>
      </c>
      <c r="H9" s="579">
        <f>SUMIFS(Master[EOBI Employers'' Contribution],Master[MCS],B9,Master[BRAND],C9)</f>
        <v>3750</v>
      </c>
      <c r="I9" s="583">
        <f t="shared" si="0"/>
        <v>563750</v>
      </c>
      <c r="J9" s="579"/>
    </row>
    <row r="10" spans="2:11" x14ac:dyDescent="0.25">
      <c r="D10" s="579">
        <f>SUMIFS(Master[Gross Salary],Master[MCS],B10,Master[BRAND],C10)</f>
        <v>0</v>
      </c>
      <c r="E10" s="579">
        <f>SUMIFS(Master[Gross salary with Conveyance],Master[MCS],B10,Master[BRAND],C10)</f>
        <v>0</v>
      </c>
      <c r="F10" s="583">
        <f>SUMIFS(Master[Net Gross],Master[MCS],B10,Master[BRAND],C10)</f>
        <v>0</v>
      </c>
      <c r="G10" s="579">
        <f>SUMIFS(Master[Net Pay],Master[MCS],B10,Master[BRAND],C10)</f>
        <v>0</v>
      </c>
      <c r="H10" s="579">
        <f>SUMIFS(Master[EOBI Employers'' Contribution],Master[MCS],B10,Master[BRAND],C10)</f>
        <v>0</v>
      </c>
      <c r="I10" s="583">
        <f t="shared" si="0"/>
        <v>0</v>
      </c>
      <c r="J10" s="579"/>
    </row>
    <row r="11" spans="2:11" x14ac:dyDescent="0.25">
      <c r="D11" s="579">
        <f>SUMIFS(Master[Gross Salary],Master[MCS],B11,Master[BRAND],C11)</f>
        <v>0</v>
      </c>
      <c r="E11" s="579">
        <f>SUMIFS(Master[Gross salary with Conveyance],Master[MCS],B11,Master[BRAND],C11)</f>
        <v>0</v>
      </c>
      <c r="F11" s="583">
        <f>SUMIFS(Master[Net Gross],Master[MCS],B11,Master[BRAND],C11)</f>
        <v>0</v>
      </c>
      <c r="G11" s="579">
        <f>SUMIFS(Master[Net Pay],Master[MCS],B11,Master[BRAND],C11)</f>
        <v>0</v>
      </c>
      <c r="H11" s="579">
        <f>SUMIFS(Master[EOBI Employers'' Contribution],Master[MCS],B11,Master[BRAND],C11)</f>
        <v>0</v>
      </c>
      <c r="I11" s="583">
        <f t="shared" ref="I11" si="1">F11+H11</f>
        <v>0</v>
      </c>
      <c r="J11" s="579"/>
    </row>
    <row r="12" spans="2:11" x14ac:dyDescent="0.25">
      <c r="D12" s="579">
        <f>SUMIFS(Master[Gross Salary],Master[MCS],B12,Master[BRAND],C12)</f>
        <v>0</v>
      </c>
      <c r="E12" s="579">
        <f>SUMIFS(Master[Gross salary with Conveyance],Master[MCS],B12,Master[BRAND],C12)</f>
        <v>0</v>
      </c>
      <c r="F12" s="583">
        <f>SUMIFS(Master[Net Gross],Master[MCS],B12,Master[BRAND],C12)</f>
        <v>0</v>
      </c>
      <c r="G12" s="579">
        <f>SUMIFS(Master[Net Pay],Master[MCS],B12,Master[BRAND],C12)</f>
        <v>0</v>
      </c>
      <c r="H12" s="579">
        <f>SUMIFS(Master[EOBI Employers'' Contribution],Master[MCS],B12,Master[BRAND],C12)</f>
        <v>0</v>
      </c>
      <c r="I12" s="583">
        <f t="shared" ref="I12" si="2">F12+H12</f>
        <v>0</v>
      </c>
      <c r="J12" s="579"/>
      <c r="K12" s="579">
        <v>127640</v>
      </c>
    </row>
    <row r="13" spans="2:11" x14ac:dyDescent="0.25">
      <c r="D13" s="579"/>
      <c r="E13" s="579"/>
      <c r="F13" s="583"/>
      <c r="G13" s="579"/>
      <c r="H13" s="579"/>
      <c r="I13" s="583"/>
      <c r="J13" s="579"/>
      <c r="K13" s="579">
        <v>183000</v>
      </c>
    </row>
    <row r="14" spans="2:11" ht="14.4" thickBot="1" x14ac:dyDescent="0.3">
      <c r="D14" s="584">
        <f>SUM(D3:D13)</f>
        <v>3212000</v>
      </c>
      <c r="E14" s="584">
        <f>SUM(E3:E13)</f>
        <v>3372000</v>
      </c>
      <c r="F14" s="585">
        <f>SUM(F3:F13)</f>
        <v>3192411.654135338</v>
      </c>
      <c r="G14" s="584">
        <f t="shared" ref="G14:I14" si="3">SUM(G3:G13)</f>
        <v>2942052.0541353384</v>
      </c>
      <c r="H14" s="584">
        <f t="shared" si="3"/>
        <v>12500</v>
      </c>
      <c r="I14" s="585">
        <f t="shared" si="3"/>
        <v>3204911.654135338</v>
      </c>
      <c r="J14" s="579"/>
      <c r="K14" s="579">
        <f>5000*276</f>
        <v>1380000</v>
      </c>
    </row>
    <row r="15" spans="2:11" ht="14.4" thickTop="1" x14ac:dyDescent="0.25">
      <c r="D15" s="579">
        <f>SUM(Master[Gross Salary])</f>
        <v>3212000</v>
      </c>
      <c r="E15" s="579">
        <f>SUM(Master[Gross salary with Conveyance])</f>
        <v>3372000</v>
      </c>
      <c r="F15" s="583">
        <f>SUM(Master[Net Gross])</f>
        <v>3192411.654135338</v>
      </c>
      <c r="G15" s="579">
        <f>SUM(Master[Net Pay])</f>
        <v>2942052.0541353384</v>
      </c>
      <c r="H15" s="579">
        <f>SUM(Master[EOBI Employers'' Contribution])</f>
        <v>12500</v>
      </c>
      <c r="I15" s="583"/>
      <c r="J15" s="579"/>
      <c r="K15" s="579">
        <f>7000*345</f>
        <v>2415000</v>
      </c>
    </row>
    <row r="16" spans="2:11" x14ac:dyDescent="0.25">
      <c r="D16" s="579">
        <f>+D14-D15</f>
        <v>0</v>
      </c>
      <c r="E16" s="579">
        <f>+E14-E15</f>
        <v>0</v>
      </c>
      <c r="F16" s="583">
        <f>+F14-F15</f>
        <v>0</v>
      </c>
      <c r="G16" s="579">
        <f t="shared" ref="G16:H16" si="4">+G14-G15</f>
        <v>0</v>
      </c>
      <c r="H16" s="579">
        <f t="shared" si="4"/>
        <v>0</v>
      </c>
      <c r="I16" s="583"/>
      <c r="J16" s="579"/>
      <c r="K16" s="738">
        <f>SUM(K12:K15)</f>
        <v>4105640</v>
      </c>
    </row>
    <row r="17" spans="2:11" x14ac:dyDescent="0.25">
      <c r="D17" s="579"/>
      <c r="E17" s="579"/>
      <c r="F17" s="579"/>
      <c r="G17" s="579">
        <v>1953000</v>
      </c>
      <c r="H17" s="579"/>
      <c r="I17" s="579"/>
      <c r="J17" s="579"/>
      <c r="K17" s="579">
        <v>-2754533</v>
      </c>
    </row>
    <row r="18" spans="2:11" x14ac:dyDescent="0.25">
      <c r="D18" s="579"/>
      <c r="E18" s="579"/>
      <c r="F18" s="579"/>
      <c r="G18" s="579">
        <f>+G14-G17</f>
        <v>989052.0541353384</v>
      </c>
      <c r="H18" s="579"/>
      <c r="I18" s="579"/>
      <c r="J18" s="579"/>
    </row>
    <row r="19" spans="2:11" x14ac:dyDescent="0.25">
      <c r="D19" s="579"/>
      <c r="E19" s="579"/>
      <c r="F19" s="579"/>
      <c r="G19" s="579"/>
      <c r="H19" s="579"/>
      <c r="I19" s="579"/>
      <c r="J19" s="579"/>
    </row>
    <row r="20" spans="2:11" x14ac:dyDescent="0.25">
      <c r="D20" s="586" t="s">
        <v>395</v>
      </c>
      <c r="E20" s="586" t="s">
        <v>396</v>
      </c>
      <c r="F20" s="586" t="s">
        <v>487</v>
      </c>
      <c r="G20" s="586" t="s">
        <v>94</v>
      </c>
      <c r="H20" s="579"/>
      <c r="I20" s="579"/>
      <c r="J20" s="579"/>
      <c r="K20" s="579">
        <v>-200000</v>
      </c>
    </row>
    <row r="21" spans="2:11" x14ac:dyDescent="0.25">
      <c r="D21" s="587"/>
      <c r="E21" s="587"/>
      <c r="F21" s="587"/>
      <c r="G21" s="587"/>
      <c r="H21" s="579"/>
      <c r="I21" s="579"/>
      <c r="J21" s="579"/>
      <c r="K21" s="579">
        <f>-751634-200000</f>
        <v>-951634</v>
      </c>
    </row>
    <row r="22" spans="2:11" x14ac:dyDescent="0.25">
      <c r="B22" s="581" t="s">
        <v>98</v>
      </c>
      <c r="D22" s="579">
        <f>I5</f>
        <v>563250</v>
      </c>
      <c r="E22" s="579">
        <f t="shared" ref="E22" si="5">$I$4/2</f>
        <v>296633.77192982455</v>
      </c>
      <c r="F22" s="579">
        <f>$I$6/3</f>
        <v>205337.71929824562</v>
      </c>
      <c r="G22" s="579">
        <f>SUM(D22:F22)</f>
        <v>1065221.4912280701</v>
      </c>
      <c r="H22" s="579"/>
      <c r="I22" s="579"/>
      <c r="J22" s="579"/>
    </row>
    <row r="23" spans="2:11" x14ac:dyDescent="0.25">
      <c r="B23" s="581" t="s">
        <v>538</v>
      </c>
      <c r="D23" s="579">
        <f>I9</f>
        <v>563750</v>
      </c>
      <c r="E23" s="579">
        <v>0</v>
      </c>
      <c r="F23" s="579">
        <f>$I$6/3</f>
        <v>205337.71929824562</v>
      </c>
      <c r="G23" s="579">
        <f t="shared" ref="G23:G26" si="6">SUM(D23:F23)</f>
        <v>769087.71929824562</v>
      </c>
      <c r="H23" s="579"/>
      <c r="I23" s="579"/>
      <c r="J23" s="579"/>
    </row>
    <row r="24" spans="2:11" x14ac:dyDescent="0.25">
      <c r="B24" s="581" t="s">
        <v>99</v>
      </c>
      <c r="D24" s="580">
        <f>I7</f>
        <v>492202.38095238095</v>
      </c>
      <c r="E24" s="579">
        <f t="shared" ref="E24" si="7">$I$4/2</f>
        <v>296633.77192982455</v>
      </c>
      <c r="F24" s="579">
        <f>$I$6/3</f>
        <v>205337.71929824562</v>
      </c>
      <c r="G24" s="579">
        <f t="shared" si="6"/>
        <v>994173.87218045117</v>
      </c>
    </row>
    <row r="25" spans="2:11" ht="14.4" thickBot="1" x14ac:dyDescent="0.3">
      <c r="B25" s="581" t="s">
        <v>464</v>
      </c>
      <c r="D25" s="580">
        <f>I3</f>
        <v>130000</v>
      </c>
      <c r="E25" s="577">
        <v>0</v>
      </c>
      <c r="G25" s="579">
        <f t="shared" si="6"/>
        <v>130000</v>
      </c>
      <c r="K25" s="739">
        <f>SUM(K16:K24)</f>
        <v>199473</v>
      </c>
    </row>
    <row r="26" spans="2:11" ht="14.4" thickTop="1" x14ac:dyDescent="0.25">
      <c r="B26" s="581" t="s">
        <v>539</v>
      </c>
      <c r="D26" s="580">
        <f>I10</f>
        <v>0</v>
      </c>
      <c r="E26" s="580">
        <f>I8</f>
        <v>246428.57142857142</v>
      </c>
      <c r="G26" s="579">
        <f t="shared" si="6"/>
        <v>246428.57142857142</v>
      </c>
    </row>
    <row r="28" spans="2:11" ht="14.4" thickBot="1" x14ac:dyDescent="0.3">
      <c r="D28" s="584">
        <f>SUM(D22:D27)</f>
        <v>1749202.3809523811</v>
      </c>
      <c r="E28" s="584">
        <f t="shared" ref="E28:G28" si="8">SUM(E22:E27)</f>
        <v>839696.11528822058</v>
      </c>
      <c r="F28" s="584">
        <f t="shared" si="8"/>
        <v>616013.15789473685</v>
      </c>
      <c r="G28" s="584">
        <f t="shared" si="8"/>
        <v>3204911.6541353385</v>
      </c>
      <c r="H28" s="580">
        <f>G28-I14</f>
        <v>0</v>
      </c>
    </row>
    <row r="29" spans="2:11" ht="14.4" thickTop="1" x14ac:dyDescent="0.25">
      <c r="G29" s="580"/>
    </row>
    <row r="45" spans="9:11" x14ac:dyDescent="0.25">
      <c r="I45" s="577" t="s">
        <v>561</v>
      </c>
    </row>
    <row r="47" spans="9:11" x14ac:dyDescent="0.25">
      <c r="I47" s="577">
        <v>40000</v>
      </c>
      <c r="J47" s="577">
        <v>10</v>
      </c>
      <c r="K47" s="579">
        <f>I47/21*J47</f>
        <v>19047.61904761905</v>
      </c>
    </row>
    <row r="48" spans="9:11" x14ac:dyDescent="0.25">
      <c r="I48" s="577">
        <v>100000</v>
      </c>
      <c r="J48" s="577">
        <v>11</v>
      </c>
      <c r="K48" s="579">
        <f>I48/21*J48</f>
        <v>52380.952380952374</v>
      </c>
    </row>
    <row r="50" spans="11:11" x14ac:dyDescent="0.25">
      <c r="K50" s="579">
        <f>SUM(K47:K49)</f>
        <v>71428.57142857142</v>
      </c>
    </row>
    <row r="51" spans="11:11" x14ac:dyDescent="0.25">
      <c r="K51" s="579">
        <v>100000</v>
      </c>
    </row>
    <row r="52" spans="11:11" x14ac:dyDescent="0.25">
      <c r="K52" s="579">
        <f>+K50-K51</f>
        <v>-28571.42857142858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7A41F-59D1-4119-9EF4-F914A055A4C4}">
  <sheetPr codeName="Sheet6">
    <pageSetUpPr fitToPage="1"/>
  </sheetPr>
  <dimension ref="A1:AX64"/>
  <sheetViews>
    <sheetView view="pageBreakPreview" zoomScale="55" zoomScaleNormal="70" zoomScaleSheetLayoutView="55" workbookViewId="0">
      <pane xSplit="9" ySplit="7" topLeftCell="J8" activePane="bottomRight" state="frozen"/>
      <selection pane="topRight" activeCell="G1" sqref="G1"/>
      <selection pane="bottomLeft" activeCell="A8" sqref="A8"/>
      <selection pane="bottomRight" activeCell="U8" sqref="U8:U15"/>
    </sheetView>
  </sheetViews>
  <sheetFormatPr defaultColWidth="8.88671875" defaultRowHeight="13.2" x14ac:dyDescent="0.3"/>
  <cols>
    <col min="1" max="1" width="5.5546875" style="48" customWidth="1"/>
    <col min="2" max="2" width="14.109375" style="48" bestFit="1" customWidth="1"/>
    <col min="3" max="4" width="18" style="48" bestFit="1" customWidth="1"/>
    <col min="5" max="5" width="12" style="48" customWidth="1"/>
    <col min="6" max="6" width="13.21875" style="48" customWidth="1"/>
    <col min="7" max="7" width="28" style="486" bestFit="1" customWidth="1"/>
    <col min="8" max="8" width="14.5546875" style="48" hidden="1" customWidth="1"/>
    <col min="9" max="9" width="33" style="48" bestFit="1" customWidth="1"/>
    <col min="10" max="10" width="20" style="48" bestFit="1" customWidth="1"/>
    <col min="11" max="11" width="33" style="48" bestFit="1" customWidth="1"/>
    <col min="12" max="12" width="13.44140625" style="426" hidden="1" customWidth="1"/>
    <col min="13" max="13" width="12.6640625" style="48" bestFit="1" customWidth="1"/>
    <col min="14" max="14" width="12.21875" style="48" bestFit="1" customWidth="1"/>
    <col min="15" max="15" width="8.5546875" style="130" hidden="1" customWidth="1"/>
    <col min="16" max="16" width="14.109375" style="48" hidden="1" customWidth="1"/>
    <col min="17" max="17" width="14.44140625" style="48" hidden="1" customWidth="1"/>
    <col min="18" max="18" width="13" style="48" hidden="1" customWidth="1"/>
    <col min="19" max="19" width="13.109375" style="48" hidden="1" customWidth="1"/>
    <col min="20" max="20" width="11.88671875" style="48" hidden="1" customWidth="1"/>
    <col min="21" max="21" width="17.88671875" style="48" bestFit="1" customWidth="1"/>
    <col min="22" max="22" width="18.5546875" style="48" hidden="1" customWidth="1"/>
    <col min="23" max="23" width="15.44140625" style="48" hidden="1" customWidth="1"/>
    <col min="24" max="24" width="15.77734375" style="48" hidden="1" customWidth="1"/>
    <col min="25" max="25" width="17.33203125" style="48" bestFit="1" customWidth="1"/>
    <col min="26" max="26" width="17.21875" style="307" bestFit="1" customWidth="1"/>
    <col min="27" max="27" width="14.5546875" style="48" bestFit="1" customWidth="1"/>
    <col min="28" max="28" width="14" style="48" hidden="1" customWidth="1"/>
    <col min="29" max="29" width="16.33203125" style="48" hidden="1" customWidth="1"/>
    <col min="30" max="30" width="18" style="48" bestFit="1" customWidth="1"/>
    <col min="31" max="31" width="11.21875" style="48" hidden="1" customWidth="1"/>
    <col min="32" max="32" width="13" style="48" hidden="1" customWidth="1"/>
    <col min="33" max="33" width="16.6640625" style="48" bestFit="1" customWidth="1"/>
    <col min="34" max="34" width="13" style="48" bestFit="1" customWidth="1"/>
    <col min="35" max="35" width="15.5546875" style="48" bestFit="1" customWidth="1"/>
    <col min="36" max="36" width="25.33203125" style="303" bestFit="1" customWidth="1"/>
    <col min="37" max="37" width="31.6640625" style="48" bestFit="1" customWidth="1"/>
    <col min="38" max="38" width="19.33203125" style="70" bestFit="1" customWidth="1"/>
    <col min="39" max="39" width="29.44140625" style="48" customWidth="1"/>
    <col min="40" max="40" width="14.44140625" style="48" bestFit="1" customWidth="1"/>
    <col min="41" max="41" width="11" style="48" hidden="1" customWidth="1"/>
    <col min="42" max="42" width="11.33203125" style="48" hidden="1" customWidth="1"/>
    <col min="43" max="43" width="12.88671875" style="48" customWidth="1"/>
    <col min="44" max="44" width="11.33203125" style="48" customWidth="1"/>
    <col min="45" max="45" width="17.5546875" style="131" customWidth="1"/>
    <col min="46" max="46" width="13" style="48" bestFit="1" customWidth="1"/>
    <col min="47" max="47" width="15" style="131" bestFit="1" customWidth="1"/>
    <col min="48" max="16384" width="8.88671875" style="48"/>
  </cols>
  <sheetData>
    <row r="1" spans="1:50" s="44" customFormat="1" ht="18" x14ac:dyDescent="0.3">
      <c r="A1" s="312" t="s">
        <v>463</v>
      </c>
      <c r="B1" s="487"/>
      <c r="C1" s="487"/>
      <c r="D1" s="487"/>
      <c r="E1" s="488"/>
      <c r="F1" s="314"/>
      <c r="G1" s="314"/>
      <c r="H1" s="487" t="s">
        <v>192</v>
      </c>
      <c r="I1" s="455" t="s">
        <v>100</v>
      </c>
      <c r="J1" s="315" t="s">
        <v>274</v>
      </c>
      <c r="K1" s="489">
        <v>280</v>
      </c>
      <c r="L1" s="490"/>
      <c r="M1" s="487"/>
      <c r="N1" s="487"/>
      <c r="O1" s="314"/>
      <c r="P1" s="491"/>
      <c r="Q1" s="491" t="s">
        <v>192</v>
      </c>
      <c r="R1" s="491" t="s">
        <v>192</v>
      </c>
      <c r="S1" s="491" t="s">
        <v>192</v>
      </c>
      <c r="T1" s="491" t="s">
        <v>192</v>
      </c>
      <c r="U1" s="492"/>
      <c r="V1" s="493"/>
      <c r="W1" s="493"/>
      <c r="X1" s="494"/>
      <c r="Y1" s="494"/>
      <c r="Z1" s="495"/>
      <c r="AA1" s="494"/>
      <c r="AB1" s="494"/>
      <c r="AC1" s="494"/>
      <c r="AD1" s="493"/>
      <c r="AE1" s="496"/>
      <c r="AF1" s="493"/>
      <c r="AG1" s="493">
        <v>2000</v>
      </c>
      <c r="AH1" s="493"/>
      <c r="AI1" s="493"/>
      <c r="AJ1" s="301"/>
      <c r="AK1" s="427"/>
      <c r="AL1" s="281"/>
      <c r="AM1" s="281"/>
      <c r="AN1" s="281"/>
      <c r="AO1" s="281"/>
      <c r="AP1" s="281"/>
      <c r="AQ1" s="281"/>
      <c r="AR1" s="281"/>
      <c r="AS1" s="279"/>
      <c r="AT1" s="284"/>
      <c r="AU1" s="279"/>
    </row>
    <row r="2" spans="1:50" s="44" customFormat="1" ht="18" x14ac:dyDescent="0.3">
      <c r="A2" s="312" t="s">
        <v>0</v>
      </c>
      <c r="B2" s="487"/>
      <c r="C2" s="487"/>
      <c r="D2" s="487"/>
      <c r="E2" s="487"/>
      <c r="F2" s="316"/>
      <c r="G2" s="316"/>
      <c r="H2" s="314"/>
      <c r="I2" s="323" t="s">
        <v>200</v>
      </c>
      <c r="J2" s="487"/>
      <c r="K2" s="487"/>
      <c r="L2" s="487"/>
      <c r="M2" s="487"/>
      <c r="N2" s="487"/>
      <c r="O2" s="314"/>
      <c r="P2" s="493"/>
      <c r="Q2" s="493"/>
      <c r="R2" s="493"/>
      <c r="S2" s="493"/>
      <c r="T2" s="493"/>
      <c r="U2" s="492"/>
      <c r="V2" s="493"/>
      <c r="W2" s="493"/>
      <c r="X2" s="493"/>
      <c r="Y2" s="493"/>
      <c r="Z2" s="495"/>
      <c r="AA2" s="493"/>
      <c r="AB2" s="493"/>
      <c r="AC2" s="493"/>
      <c r="AD2" s="493"/>
      <c r="AE2" s="493"/>
      <c r="AF2" s="497"/>
      <c r="AG2" s="498"/>
      <c r="AH2" s="493"/>
      <c r="AI2" s="493"/>
      <c r="AJ2" s="301"/>
      <c r="AK2" s="427"/>
      <c r="AL2" s="281"/>
      <c r="AM2" s="281"/>
      <c r="AN2" s="281"/>
      <c r="AO2" s="281"/>
      <c r="AP2" s="281"/>
      <c r="AQ2" s="281"/>
      <c r="AR2" s="281"/>
      <c r="AS2" s="279"/>
      <c r="AT2" s="284"/>
      <c r="AU2" s="279"/>
    </row>
    <row r="3" spans="1:50" s="44" customFormat="1" ht="18" x14ac:dyDescent="0.3">
      <c r="A3" s="499" t="s">
        <v>431</v>
      </c>
      <c r="B3" s="500"/>
      <c r="C3" s="500"/>
      <c r="D3" s="500"/>
      <c r="E3" s="500"/>
      <c r="F3" s="487"/>
      <c r="G3" s="314">
        <v>22</v>
      </c>
      <c r="H3" s="314"/>
      <c r="I3" s="323" t="s">
        <v>201</v>
      </c>
      <c r="J3" s="487"/>
      <c r="K3" s="501"/>
      <c r="L3" s="500"/>
      <c r="M3" s="487"/>
      <c r="N3" s="487"/>
      <c r="O3" s="314"/>
      <c r="P3" s="502"/>
      <c r="Q3" s="493"/>
      <c r="R3" s="493"/>
      <c r="S3" s="493"/>
      <c r="T3" s="502"/>
      <c r="U3" s="493"/>
      <c r="V3" s="493"/>
      <c r="W3" s="493"/>
      <c r="X3" s="493"/>
      <c r="Y3" s="493"/>
      <c r="Z3" s="495"/>
      <c r="AA3" s="493"/>
      <c r="AB3" s="493"/>
      <c r="AC3" s="493"/>
      <c r="AD3" s="493"/>
      <c r="AE3" s="493"/>
      <c r="AF3" s="493"/>
      <c r="AG3" s="493"/>
      <c r="AH3" s="493"/>
      <c r="AI3" s="493"/>
      <c r="AJ3" s="302">
        <v>1.1666666666666667</v>
      </c>
      <c r="AK3" s="427"/>
      <c r="AL3" s="281"/>
      <c r="AM3" s="281"/>
      <c r="AN3" s="281"/>
      <c r="AO3" s="281"/>
      <c r="AP3" s="281"/>
      <c r="AQ3" s="281"/>
      <c r="AR3" s="281"/>
      <c r="AS3" s="279"/>
      <c r="AT3" s="284"/>
      <c r="AU3" s="279"/>
    </row>
    <row r="4" spans="1:50" s="44" customFormat="1" ht="18" x14ac:dyDescent="0.3">
      <c r="A4" s="499" t="s">
        <v>432</v>
      </c>
      <c r="B4" s="500"/>
      <c r="C4" s="500"/>
      <c r="D4" s="500"/>
      <c r="E4" s="500"/>
      <c r="F4" s="487"/>
      <c r="G4" s="314">
        <v>22</v>
      </c>
      <c r="H4" s="314"/>
      <c r="I4" s="503" t="s">
        <v>247</v>
      </c>
      <c r="J4" s="504"/>
      <c r="K4" s="504"/>
      <c r="L4" s="500"/>
      <c r="M4" s="504"/>
      <c r="N4" s="504"/>
      <c r="O4" s="504"/>
      <c r="P4" s="504"/>
      <c r="Q4" s="504">
        <f>COLUMN()-2</f>
        <v>15</v>
      </c>
      <c r="R4" s="504">
        <f>COLUMN()-2</f>
        <v>16</v>
      </c>
      <c r="S4" s="504">
        <f>COLUMN()-2</f>
        <v>17</v>
      </c>
      <c r="T4" s="504">
        <f>COLUMN()-2</f>
        <v>18</v>
      </c>
      <c r="U4" s="504"/>
      <c r="V4" s="504"/>
      <c r="W4" s="504"/>
      <c r="X4" s="504"/>
      <c r="Y4" s="504"/>
      <c r="Z4" s="495"/>
      <c r="AA4" s="504"/>
      <c r="AB4" s="504"/>
      <c r="AC4" s="504"/>
      <c r="AD4" s="504"/>
      <c r="AE4" s="504"/>
      <c r="AF4" s="504"/>
      <c r="AG4" s="504"/>
      <c r="AH4" s="504"/>
      <c r="AI4" s="504"/>
      <c r="AJ4" s="301">
        <f>COLUMN()-2</f>
        <v>34</v>
      </c>
      <c r="AK4" s="427">
        <f>COLUMN()-2</f>
        <v>35</v>
      </c>
      <c r="AL4" s="288">
        <f>COLUMN()-2</f>
        <v>36</v>
      </c>
      <c r="AM4" s="281"/>
      <c r="AN4" s="281"/>
      <c r="AO4" s="281"/>
      <c r="AP4" s="281"/>
      <c r="AQ4" s="281"/>
      <c r="AR4" s="281"/>
      <c r="AS4" s="279"/>
      <c r="AT4" s="284"/>
      <c r="AU4" s="279"/>
    </row>
    <row r="5" spans="1:50" s="44" customFormat="1" ht="18" x14ac:dyDescent="0.3">
      <c r="A5" s="499" t="s">
        <v>433</v>
      </c>
      <c r="B5" s="500"/>
      <c r="C5" s="500"/>
      <c r="D5" s="500"/>
      <c r="E5" s="500"/>
      <c r="F5" s="487"/>
      <c r="G5" s="314">
        <v>21</v>
      </c>
      <c r="H5" s="314"/>
      <c r="I5" s="487"/>
      <c r="J5" s="487"/>
      <c r="K5" s="487"/>
      <c r="L5" s="500"/>
      <c r="M5" s="487"/>
      <c r="N5" s="487"/>
      <c r="O5" s="314"/>
      <c r="P5" s="493"/>
      <c r="Q5" s="493"/>
      <c r="R5" s="493"/>
      <c r="S5" s="493"/>
      <c r="T5" s="493"/>
      <c r="U5" s="493"/>
      <c r="V5" s="493"/>
      <c r="W5" s="493"/>
      <c r="X5" s="493"/>
      <c r="Y5" s="493"/>
      <c r="Z5" s="495"/>
      <c r="AA5" s="493"/>
      <c r="AB5" s="493"/>
      <c r="AC5" s="493"/>
      <c r="AD5" s="493"/>
      <c r="AE5" s="493"/>
      <c r="AF5" s="493"/>
      <c r="AG5" s="493"/>
      <c r="AH5" s="493"/>
      <c r="AI5" s="493"/>
      <c r="AJ5" s="301"/>
      <c r="AK5" s="427"/>
      <c r="AL5" s="281"/>
      <c r="AM5" s="281"/>
      <c r="AN5" s="281"/>
      <c r="AO5" s="281"/>
      <c r="AP5" s="281"/>
      <c r="AQ5" s="281"/>
      <c r="AR5" s="281"/>
      <c r="AS5" s="279"/>
      <c r="AT5" s="284"/>
      <c r="AU5" s="279"/>
    </row>
    <row r="6" spans="1:50" s="44" customFormat="1" ht="18" x14ac:dyDescent="0.3">
      <c r="A6" s="499" t="s">
        <v>434</v>
      </c>
      <c r="B6" s="500"/>
      <c r="C6" s="500"/>
      <c r="D6" s="500"/>
      <c r="E6" s="500"/>
      <c r="F6" s="314"/>
      <c r="G6" s="314">
        <v>21</v>
      </c>
      <c r="H6" s="314"/>
      <c r="I6" s="487"/>
      <c r="J6" s="505">
        <f t="shared" ref="J6:O6" si="0">COLUMN()-5</f>
        <v>5</v>
      </c>
      <c r="K6" s="505">
        <f t="shared" si="0"/>
        <v>6</v>
      </c>
      <c r="L6" s="500"/>
      <c r="M6" s="505">
        <f t="shared" si="0"/>
        <v>8</v>
      </c>
      <c r="N6" s="505">
        <f t="shared" si="0"/>
        <v>9</v>
      </c>
      <c r="O6" s="505">
        <f t="shared" si="0"/>
        <v>10</v>
      </c>
      <c r="P6" s="505">
        <f>COLUMN()-5</f>
        <v>11</v>
      </c>
      <c r="Q6" s="505">
        <f t="shared" ref="Q6:AL6" si="1">COLUMN()-5</f>
        <v>12</v>
      </c>
      <c r="R6" s="505">
        <f t="shared" si="1"/>
        <v>13</v>
      </c>
      <c r="S6" s="505">
        <f t="shared" si="1"/>
        <v>14</v>
      </c>
      <c r="T6" s="505">
        <f t="shared" si="1"/>
        <v>15</v>
      </c>
      <c r="U6" s="505">
        <f t="shared" si="1"/>
        <v>16</v>
      </c>
      <c r="V6" s="505">
        <f t="shared" si="1"/>
        <v>17</v>
      </c>
      <c r="W6" s="505">
        <f t="shared" si="1"/>
        <v>18</v>
      </c>
      <c r="X6" s="505">
        <f t="shared" si="1"/>
        <v>19</v>
      </c>
      <c r="Y6" s="505">
        <f t="shared" si="1"/>
        <v>20</v>
      </c>
      <c r="Z6" s="505">
        <f t="shared" si="1"/>
        <v>21</v>
      </c>
      <c r="AA6" s="505">
        <f t="shared" si="1"/>
        <v>22</v>
      </c>
      <c r="AB6" s="505">
        <f t="shared" si="1"/>
        <v>23</v>
      </c>
      <c r="AC6" s="505">
        <f t="shared" si="1"/>
        <v>24</v>
      </c>
      <c r="AD6" s="505">
        <f t="shared" si="1"/>
        <v>25</v>
      </c>
      <c r="AE6" s="505">
        <f t="shared" si="1"/>
        <v>26</v>
      </c>
      <c r="AF6" s="505">
        <f t="shared" si="1"/>
        <v>27</v>
      </c>
      <c r="AG6" s="505">
        <f t="shared" si="1"/>
        <v>28</v>
      </c>
      <c r="AH6" s="505">
        <f t="shared" si="1"/>
        <v>29</v>
      </c>
      <c r="AI6" s="505">
        <f t="shared" si="1"/>
        <v>30</v>
      </c>
      <c r="AJ6" s="310">
        <f t="shared" si="1"/>
        <v>31</v>
      </c>
      <c r="AK6" s="309">
        <f t="shared" si="1"/>
        <v>32</v>
      </c>
      <c r="AL6" s="310">
        <f t="shared" si="1"/>
        <v>33</v>
      </c>
      <c r="AM6" s="281"/>
      <c r="AN6" s="281"/>
      <c r="AO6" s="281"/>
      <c r="AP6" s="281"/>
      <c r="AQ6" s="281"/>
      <c r="AR6" s="281"/>
      <c r="AS6" s="279"/>
      <c r="AT6" s="284"/>
      <c r="AU6" s="279"/>
    </row>
    <row r="7" spans="1:50" s="468" customFormat="1" ht="54" x14ac:dyDescent="0.3">
      <c r="A7" s="506"/>
      <c r="B7" s="317" t="s">
        <v>1</v>
      </c>
      <c r="C7" s="317" t="s">
        <v>422</v>
      </c>
      <c r="D7" s="317" t="s">
        <v>423</v>
      </c>
      <c r="E7" s="317" t="s">
        <v>424</v>
      </c>
      <c r="F7" s="317" t="s">
        <v>2</v>
      </c>
      <c r="G7" s="317" t="s">
        <v>83</v>
      </c>
      <c r="H7" s="317" t="s">
        <v>68</v>
      </c>
      <c r="I7" s="317" t="s">
        <v>3</v>
      </c>
      <c r="J7" s="318" t="s">
        <v>4</v>
      </c>
      <c r="K7" s="318" t="s">
        <v>5</v>
      </c>
      <c r="L7" s="317" t="s">
        <v>439</v>
      </c>
      <c r="M7" s="318" t="s">
        <v>66</v>
      </c>
      <c r="N7" s="318" t="s">
        <v>58</v>
      </c>
      <c r="O7" s="317" t="s">
        <v>6</v>
      </c>
      <c r="P7" s="319" t="s">
        <v>7</v>
      </c>
      <c r="Q7" s="319" t="s">
        <v>8</v>
      </c>
      <c r="R7" s="319" t="s">
        <v>9</v>
      </c>
      <c r="S7" s="319" t="s">
        <v>10</v>
      </c>
      <c r="T7" s="319" t="s">
        <v>11</v>
      </c>
      <c r="U7" s="319" t="s">
        <v>12</v>
      </c>
      <c r="V7" s="319" t="s">
        <v>204</v>
      </c>
      <c r="W7" s="319" t="s">
        <v>14</v>
      </c>
      <c r="X7" s="319" t="s">
        <v>15</v>
      </c>
      <c r="Y7" s="319" t="s">
        <v>67</v>
      </c>
      <c r="Z7" s="507" t="s">
        <v>16</v>
      </c>
      <c r="AA7" s="319" t="s">
        <v>70</v>
      </c>
      <c r="AB7" s="319" t="s">
        <v>17</v>
      </c>
      <c r="AC7" s="319" t="s">
        <v>18</v>
      </c>
      <c r="AD7" s="319" t="s">
        <v>19</v>
      </c>
      <c r="AE7" s="319" t="s">
        <v>20</v>
      </c>
      <c r="AF7" s="319" t="s">
        <v>73</v>
      </c>
      <c r="AG7" s="319" t="s">
        <v>21</v>
      </c>
      <c r="AH7" s="319" t="s">
        <v>22</v>
      </c>
      <c r="AI7" s="319" t="s">
        <v>23</v>
      </c>
      <c r="AJ7" s="465" t="s">
        <v>24</v>
      </c>
      <c r="AK7" s="465" t="s">
        <v>25</v>
      </c>
      <c r="AL7" s="466" t="s">
        <v>109</v>
      </c>
      <c r="AM7" s="466" t="s">
        <v>111</v>
      </c>
      <c r="AN7" s="467" t="s">
        <v>112</v>
      </c>
      <c r="AO7" s="467" t="s">
        <v>113</v>
      </c>
      <c r="AP7" s="467" t="s">
        <v>92</v>
      </c>
      <c r="AQ7" s="467" t="s">
        <v>93</v>
      </c>
      <c r="AR7" s="467" t="s">
        <v>26</v>
      </c>
      <c r="AS7" s="467" t="s">
        <v>196</v>
      </c>
      <c r="AT7" s="467" t="s">
        <v>27</v>
      </c>
      <c r="AU7" s="467" t="s">
        <v>94</v>
      </c>
    </row>
    <row r="8" spans="1:50" s="474" customFormat="1" ht="40.049999999999997" customHeight="1" x14ac:dyDescent="0.3">
      <c r="A8" s="508"/>
      <c r="B8" s="320" cm="1">
        <f t="array" ref="B8:AU19">_xlfn._xlws.FILTER(Master!B8:AU28,Master!U8:U28&lt;=30000,"")</f>
        <v>49</v>
      </c>
      <c r="C8" s="509">
        <v>0</v>
      </c>
      <c r="D8" s="320">
        <v>0</v>
      </c>
      <c r="E8" s="331">
        <v>0</v>
      </c>
      <c r="F8" s="320">
        <v>701</v>
      </c>
      <c r="G8" s="488">
        <v>43684</v>
      </c>
      <c r="H8" s="320" t="str">
        <v>CT</v>
      </c>
      <c r="I8" s="322" t="str">
        <v>Usman Amin</v>
      </c>
      <c r="J8" s="322" t="str">
        <v>Sales</v>
      </c>
      <c r="K8" s="322" t="str">
        <v>International Sales Executive</v>
      </c>
      <c r="L8" s="331" t="str">
        <v>Umer Shahjahan</v>
      </c>
      <c r="M8" s="322" t="str">
        <v>HW</v>
      </c>
      <c r="N8" s="322" t="str">
        <v>BNS</v>
      </c>
      <c r="O8" s="320" t="str">
        <v>NP</v>
      </c>
      <c r="P8" s="510">
        <v>0</v>
      </c>
      <c r="Q8" s="510">
        <v>0</v>
      </c>
      <c r="R8" s="510">
        <v>0</v>
      </c>
      <c r="S8" s="510">
        <v>0</v>
      </c>
      <c r="T8" s="510">
        <v>0</v>
      </c>
      <c r="U8" s="510">
        <v>0</v>
      </c>
      <c r="V8" s="510">
        <v>0</v>
      </c>
      <c r="W8" s="510">
        <v>0</v>
      </c>
      <c r="X8" s="510">
        <v>0</v>
      </c>
      <c r="Y8" s="510">
        <v>0</v>
      </c>
      <c r="Z8" s="511">
        <v>0</v>
      </c>
      <c r="AA8" s="510">
        <v>0</v>
      </c>
      <c r="AB8" s="512">
        <v>0</v>
      </c>
      <c r="AC8" s="510">
        <v>0</v>
      </c>
      <c r="AD8" s="510">
        <v>0</v>
      </c>
      <c r="AE8" s="510">
        <v>0</v>
      </c>
      <c r="AF8" s="510">
        <v>0</v>
      </c>
      <c r="AG8" s="510">
        <v>0</v>
      </c>
      <c r="AH8" s="510">
        <v>0</v>
      </c>
      <c r="AI8" s="510">
        <v>0</v>
      </c>
      <c r="AJ8" s="470" t="str">
        <v>Habib Bank Limited</v>
      </c>
      <c r="AK8" s="471" t="str">
        <v>0445-79012790-99</v>
      </c>
      <c r="AL8" s="469" t="str">
        <v>35202-7785641-9</v>
      </c>
      <c r="AM8" s="470" t="str">
        <v>Muhammad ADA</v>
      </c>
      <c r="AN8" s="472">
        <v>0</v>
      </c>
      <c r="AO8" s="472">
        <v>0</v>
      </c>
      <c r="AP8" s="472">
        <v>0</v>
      </c>
      <c r="AQ8" s="472">
        <v>0</v>
      </c>
      <c r="AR8" s="472">
        <v>0</v>
      </c>
      <c r="AS8" s="543">
        <v>0</v>
      </c>
      <c r="AT8" s="473">
        <v>0</v>
      </c>
      <c r="AU8" s="545">
        <v>0</v>
      </c>
      <c r="AW8" s="474">
        <v>144</v>
      </c>
      <c r="AX8" s="544">
        <f>+F8-AW8</f>
        <v>557</v>
      </c>
    </row>
    <row r="9" spans="1:50" s="474" customFormat="1" ht="40.049999999999997" customHeight="1" x14ac:dyDescent="0.3">
      <c r="A9" s="508"/>
      <c r="B9" s="320">
        <v>15</v>
      </c>
      <c r="C9" s="509">
        <v>0</v>
      </c>
      <c r="D9" s="320">
        <v>0</v>
      </c>
      <c r="E9" s="331">
        <v>0</v>
      </c>
      <c r="F9" s="320">
        <v>191</v>
      </c>
      <c r="G9" s="488">
        <v>43788</v>
      </c>
      <c r="H9" s="320" t="str">
        <v>NJ</v>
      </c>
      <c r="I9" s="322" t="str">
        <v>Usman</v>
      </c>
      <c r="J9" s="322" t="str">
        <v>Data Analysis</v>
      </c>
      <c r="K9" s="322" t="str">
        <v>Trainee</v>
      </c>
      <c r="L9" s="331" t="str">
        <v>Azmeer</v>
      </c>
      <c r="M9" s="322" t="str">
        <v>HW</v>
      </c>
      <c r="N9" s="322" t="str">
        <v>ALL</v>
      </c>
      <c r="O9" s="320" t="str">
        <v>NP</v>
      </c>
      <c r="P9" s="510">
        <v>15000</v>
      </c>
      <c r="Q9" s="510">
        <v>9375</v>
      </c>
      <c r="R9" s="510">
        <v>3750</v>
      </c>
      <c r="S9" s="510">
        <v>937.5</v>
      </c>
      <c r="T9" s="510">
        <v>937.5</v>
      </c>
      <c r="U9" s="510">
        <v>15000</v>
      </c>
      <c r="V9" s="510">
        <v>0</v>
      </c>
      <c r="W9" s="510">
        <v>0</v>
      </c>
      <c r="X9" s="510">
        <v>0</v>
      </c>
      <c r="Y9" s="510">
        <v>14</v>
      </c>
      <c r="Z9" s="511">
        <v>11052.631578947368</v>
      </c>
      <c r="AA9" s="510">
        <v>87.719298245614041</v>
      </c>
      <c r="AB9" s="512">
        <v>0</v>
      </c>
      <c r="AC9" s="510">
        <v>0</v>
      </c>
      <c r="AD9" s="510">
        <v>3947.3684210526317</v>
      </c>
      <c r="AE9" s="510">
        <v>0</v>
      </c>
      <c r="AF9" s="510">
        <v>0</v>
      </c>
      <c r="AG9" s="510">
        <v>0</v>
      </c>
      <c r="AH9" s="510">
        <v>0</v>
      </c>
      <c r="AI9" s="510">
        <v>3947.3684210526317</v>
      </c>
      <c r="AJ9" s="470">
        <v>0</v>
      </c>
      <c r="AK9" s="470">
        <v>0</v>
      </c>
      <c r="AL9" s="469">
        <v>0</v>
      </c>
      <c r="AM9" s="470" t="str">
        <v>Muhammad Khawar</v>
      </c>
      <c r="AN9" s="472">
        <v>0</v>
      </c>
      <c r="AO9" s="472">
        <v>0</v>
      </c>
      <c r="AP9" s="472">
        <v>0</v>
      </c>
      <c r="AQ9" s="472">
        <v>0</v>
      </c>
      <c r="AR9" s="472">
        <v>3947.3684210526317</v>
      </c>
      <c r="AS9" s="543">
        <v>3947.3684210526317</v>
      </c>
      <c r="AT9" s="473">
        <v>0</v>
      </c>
      <c r="AU9" s="472">
        <v>3947.3684210526317</v>
      </c>
      <c r="AW9" s="474">
        <v>999</v>
      </c>
      <c r="AX9" s="544">
        <f t="shared" ref="AX9:AX42" si="2">+F9-AW9</f>
        <v>-808</v>
      </c>
    </row>
    <row r="10" spans="1:50" s="474" customFormat="1" ht="40.049999999999997" customHeight="1" x14ac:dyDescent="0.3">
      <c r="A10" s="508"/>
      <c r="B10" s="320">
        <v>0</v>
      </c>
      <c r="C10" s="509">
        <v>0</v>
      </c>
      <c r="D10" s="320">
        <v>0</v>
      </c>
      <c r="E10" s="331">
        <v>0</v>
      </c>
      <c r="F10" s="320">
        <v>229</v>
      </c>
      <c r="G10" s="488">
        <v>43942</v>
      </c>
      <c r="H10" s="320">
        <v>0</v>
      </c>
      <c r="I10" s="322" t="str">
        <v>Maham Khan</v>
      </c>
      <c r="J10" s="322" t="str">
        <v>Sales</v>
      </c>
      <c r="K10" s="322" t="str">
        <v>International Sales Executive</v>
      </c>
      <c r="L10" s="331">
        <v>0</v>
      </c>
      <c r="M10" s="322" t="str">
        <v>HW</v>
      </c>
      <c r="N10" s="322" t="str">
        <v>BD</v>
      </c>
      <c r="O10" s="320" t="str">
        <v>NP</v>
      </c>
      <c r="P10" s="510">
        <v>30000</v>
      </c>
      <c r="Q10" s="510">
        <v>18750</v>
      </c>
      <c r="R10" s="510">
        <v>7500</v>
      </c>
      <c r="S10" s="510">
        <v>1875</v>
      </c>
      <c r="T10" s="510">
        <v>1875</v>
      </c>
      <c r="U10" s="510">
        <v>30000</v>
      </c>
      <c r="V10" s="510">
        <v>0</v>
      </c>
      <c r="W10" s="510">
        <v>0</v>
      </c>
      <c r="X10" s="510">
        <v>0</v>
      </c>
      <c r="Y10" s="510">
        <v>13</v>
      </c>
      <c r="Z10" s="511">
        <v>19500</v>
      </c>
      <c r="AA10" s="510">
        <v>166.66666666666666</v>
      </c>
      <c r="AB10" s="512">
        <v>0</v>
      </c>
      <c r="AC10" s="510">
        <v>0</v>
      </c>
      <c r="AD10" s="510">
        <v>10500</v>
      </c>
      <c r="AE10" s="510">
        <v>0</v>
      </c>
      <c r="AF10" s="510">
        <v>0</v>
      </c>
      <c r="AG10" s="510">
        <v>0</v>
      </c>
      <c r="AH10" s="510">
        <v>0</v>
      </c>
      <c r="AI10" s="510">
        <v>10500</v>
      </c>
      <c r="AJ10" s="470" t="str">
        <v>Habib Bank Limited</v>
      </c>
      <c r="AK10" s="470" t="str">
        <v>PK70HABB0022567901806303</v>
      </c>
      <c r="AL10" s="469" t="str">
        <v>42301-1466430-6</v>
      </c>
      <c r="AM10" s="470" t="str">
        <v>Muhammad Ali</v>
      </c>
      <c r="AN10" s="472">
        <v>0</v>
      </c>
      <c r="AO10" s="472">
        <v>0</v>
      </c>
      <c r="AP10" s="472">
        <v>0</v>
      </c>
      <c r="AQ10" s="472">
        <v>0</v>
      </c>
      <c r="AR10" s="472">
        <v>10500</v>
      </c>
      <c r="AS10" s="543">
        <v>10500</v>
      </c>
      <c r="AT10" s="473">
        <v>0</v>
      </c>
      <c r="AU10" s="545">
        <v>10500</v>
      </c>
      <c r="AW10" s="474">
        <v>168</v>
      </c>
      <c r="AX10" s="544">
        <f t="shared" si="2"/>
        <v>61</v>
      </c>
    </row>
    <row r="11" spans="1:50" s="474" customFormat="1" ht="40.049999999999997" customHeight="1" x14ac:dyDescent="0.3">
      <c r="A11" s="508"/>
      <c r="B11" s="320">
        <v>16</v>
      </c>
      <c r="C11" s="509">
        <v>0</v>
      </c>
      <c r="D11" s="320">
        <v>0</v>
      </c>
      <c r="E11" s="331">
        <v>0</v>
      </c>
      <c r="F11" s="320">
        <v>224</v>
      </c>
      <c r="G11" s="488">
        <v>43861</v>
      </c>
      <c r="H11" s="320">
        <v>0</v>
      </c>
      <c r="I11" s="322" t="str">
        <v>Taha Ahmed</v>
      </c>
      <c r="J11" s="322" t="str">
        <v>Data Analysis</v>
      </c>
      <c r="K11" s="322" t="str">
        <v>Trainee</v>
      </c>
      <c r="L11" s="331" t="str">
        <v>Azmeer</v>
      </c>
      <c r="M11" s="322" t="str">
        <v>HW</v>
      </c>
      <c r="N11" s="322" t="str">
        <v>ALL</v>
      </c>
      <c r="O11" s="320" t="str">
        <v>NP</v>
      </c>
      <c r="P11" s="510">
        <v>15000</v>
      </c>
      <c r="Q11" s="510">
        <v>9375</v>
      </c>
      <c r="R11" s="510">
        <v>3750</v>
      </c>
      <c r="S11" s="510">
        <v>937.5</v>
      </c>
      <c r="T11" s="510">
        <v>937.5</v>
      </c>
      <c r="U11" s="510">
        <v>15000</v>
      </c>
      <c r="V11" s="510">
        <v>0</v>
      </c>
      <c r="W11" s="510">
        <v>0</v>
      </c>
      <c r="X11" s="510">
        <v>0</v>
      </c>
      <c r="Y11" s="510">
        <v>0</v>
      </c>
      <c r="Z11" s="511">
        <v>0</v>
      </c>
      <c r="AA11" s="510">
        <v>87.719298245614041</v>
      </c>
      <c r="AB11" s="512">
        <v>0</v>
      </c>
      <c r="AC11" s="510">
        <v>0</v>
      </c>
      <c r="AD11" s="510">
        <v>15000</v>
      </c>
      <c r="AE11" s="510">
        <v>0</v>
      </c>
      <c r="AF11" s="510">
        <v>0</v>
      </c>
      <c r="AG11" s="510">
        <v>0</v>
      </c>
      <c r="AH11" s="510">
        <v>0</v>
      </c>
      <c r="AI11" s="510">
        <v>15000</v>
      </c>
      <c r="AJ11" s="470" t="str">
        <v>MCB Bank</v>
      </c>
      <c r="AK11" s="470" t="str">
        <v>PK27MUCB0006802010077407</v>
      </c>
      <c r="AL11" s="469" t="str">
        <v>42201-9587377-5</v>
      </c>
      <c r="AM11" s="470" t="str">
        <v>Zameer Ahmed Usmani</v>
      </c>
      <c r="AN11" s="472">
        <v>0</v>
      </c>
      <c r="AO11" s="472">
        <v>0</v>
      </c>
      <c r="AP11" s="472">
        <v>0</v>
      </c>
      <c r="AQ11" s="472">
        <v>15000</v>
      </c>
      <c r="AR11" s="472">
        <v>0</v>
      </c>
      <c r="AS11" s="543">
        <v>15000</v>
      </c>
      <c r="AT11" s="473">
        <v>0</v>
      </c>
      <c r="AU11" s="545">
        <v>15000</v>
      </c>
      <c r="AW11" s="474">
        <v>176</v>
      </c>
      <c r="AX11" s="544">
        <f t="shared" si="2"/>
        <v>48</v>
      </c>
    </row>
    <row r="12" spans="1:50" s="474" customFormat="1" ht="40.049999999999997" customHeight="1" x14ac:dyDescent="0.3">
      <c r="A12" s="508"/>
      <c r="B12" s="320">
        <v>7</v>
      </c>
      <c r="C12" s="509">
        <v>0</v>
      </c>
      <c r="D12" s="320">
        <v>0</v>
      </c>
      <c r="E12" s="331">
        <v>0</v>
      </c>
      <c r="F12" s="320">
        <v>999</v>
      </c>
      <c r="G12" s="488">
        <v>43496</v>
      </c>
      <c r="H12" s="337" t="str">
        <v>CT</v>
      </c>
      <c r="I12" s="322" t="str">
        <v>Muhammad Farooq</v>
      </c>
      <c r="J12" s="322" t="str">
        <v>Administration</v>
      </c>
      <c r="K12" s="322" t="str">
        <v>Electrician</v>
      </c>
      <c r="L12" s="331" t="str">
        <v>Mubashir</v>
      </c>
      <c r="M12" s="322" t="str">
        <v>ALL</v>
      </c>
      <c r="N12" s="322" t="str">
        <v>ALL</v>
      </c>
      <c r="O12" s="320" t="str">
        <v>NP</v>
      </c>
      <c r="P12" s="510">
        <v>15000</v>
      </c>
      <c r="Q12" s="510">
        <v>9375</v>
      </c>
      <c r="R12" s="510">
        <v>3750</v>
      </c>
      <c r="S12" s="510">
        <v>937.5</v>
      </c>
      <c r="T12" s="510">
        <v>937.5</v>
      </c>
      <c r="U12" s="510">
        <v>15000</v>
      </c>
      <c r="V12" s="510">
        <v>0</v>
      </c>
      <c r="W12" s="510">
        <v>0</v>
      </c>
      <c r="X12" s="510">
        <v>0</v>
      </c>
      <c r="Y12" s="510">
        <v>0</v>
      </c>
      <c r="Z12" s="511">
        <v>0</v>
      </c>
      <c r="AA12" s="510">
        <v>87.719298245614041</v>
      </c>
      <c r="AB12" s="512">
        <v>0</v>
      </c>
      <c r="AC12" s="510">
        <v>0</v>
      </c>
      <c r="AD12" s="510">
        <v>15000</v>
      </c>
      <c r="AE12" s="510">
        <v>0</v>
      </c>
      <c r="AF12" s="510">
        <v>0</v>
      </c>
      <c r="AG12" s="510">
        <v>0</v>
      </c>
      <c r="AH12" s="510">
        <v>0</v>
      </c>
      <c r="AI12" s="510">
        <v>15000</v>
      </c>
      <c r="AJ12" s="470" t="str">
        <v>Standard Chartered Bank</v>
      </c>
      <c r="AK12" s="470" t="str">
        <v>01994613601</v>
      </c>
      <c r="AL12" s="469">
        <v>0</v>
      </c>
      <c r="AM12" s="470" t="str">
        <v>Muhammad Farooq</v>
      </c>
      <c r="AN12" s="472">
        <v>0</v>
      </c>
      <c r="AO12" s="472">
        <v>0</v>
      </c>
      <c r="AP12" s="472">
        <v>0</v>
      </c>
      <c r="AQ12" s="472">
        <v>15000</v>
      </c>
      <c r="AR12" s="472">
        <v>0</v>
      </c>
      <c r="AS12" s="543">
        <v>15000</v>
      </c>
      <c r="AT12" s="473">
        <v>0</v>
      </c>
      <c r="AU12" s="545">
        <v>15000</v>
      </c>
      <c r="AW12" s="474">
        <v>164</v>
      </c>
      <c r="AX12" s="544">
        <f t="shared" si="2"/>
        <v>835</v>
      </c>
    </row>
    <row r="13" spans="1:50" s="474" customFormat="1" ht="40.049999999999997" customHeight="1" x14ac:dyDescent="0.3">
      <c r="A13" s="508"/>
      <c r="B13" s="320">
        <v>13</v>
      </c>
      <c r="C13" s="509">
        <v>0</v>
      </c>
      <c r="D13" s="320">
        <v>0</v>
      </c>
      <c r="E13" s="331">
        <v>0</v>
      </c>
      <c r="F13" s="320">
        <v>221</v>
      </c>
      <c r="G13" s="488">
        <v>43479</v>
      </c>
      <c r="H13" s="320">
        <v>0</v>
      </c>
      <c r="I13" s="322" t="str">
        <v>Abdul Sami Kamali</v>
      </c>
      <c r="J13" s="322" t="str">
        <v>Data Analysis</v>
      </c>
      <c r="K13" s="322" t="str">
        <v>Trainee</v>
      </c>
      <c r="L13" s="331" t="str">
        <v>Azmeer</v>
      </c>
      <c r="M13" s="322" t="str">
        <v>HW</v>
      </c>
      <c r="N13" s="322" t="str">
        <v>ALL</v>
      </c>
      <c r="O13" s="320" t="str">
        <v>NP</v>
      </c>
      <c r="P13" s="510">
        <v>25000</v>
      </c>
      <c r="Q13" s="510">
        <v>15625</v>
      </c>
      <c r="R13" s="510">
        <v>6250</v>
      </c>
      <c r="S13" s="510">
        <v>1562.5</v>
      </c>
      <c r="T13" s="510">
        <v>1562.5</v>
      </c>
      <c r="U13" s="510">
        <v>25000</v>
      </c>
      <c r="V13" s="510">
        <v>0</v>
      </c>
      <c r="W13" s="510">
        <v>0</v>
      </c>
      <c r="X13" s="510">
        <v>0</v>
      </c>
      <c r="Y13" s="510">
        <v>0</v>
      </c>
      <c r="Z13" s="511">
        <v>0</v>
      </c>
      <c r="AA13" s="510">
        <v>146.19883040935673</v>
      </c>
      <c r="AB13" s="512">
        <v>0</v>
      </c>
      <c r="AC13" s="510">
        <v>0</v>
      </c>
      <c r="AD13" s="510">
        <v>25000</v>
      </c>
      <c r="AE13" s="510">
        <v>0</v>
      </c>
      <c r="AF13" s="510">
        <v>0</v>
      </c>
      <c r="AG13" s="510">
        <v>0</v>
      </c>
      <c r="AH13" s="510">
        <v>0</v>
      </c>
      <c r="AI13" s="510">
        <v>25000</v>
      </c>
      <c r="AJ13" s="470" t="str">
        <v>NAYAPAY</v>
      </c>
      <c r="AK13" s="470" t="str">
        <v>03313102701</v>
      </c>
      <c r="AL13" s="469" t="str">
        <v>42000-5277363-3</v>
      </c>
      <c r="AM13" s="470" t="str">
        <v>Abdul Sami Kamali</v>
      </c>
      <c r="AN13" s="472">
        <v>0</v>
      </c>
      <c r="AO13" s="472">
        <v>0</v>
      </c>
      <c r="AP13" s="472">
        <v>0</v>
      </c>
      <c r="AQ13" s="472">
        <v>25000</v>
      </c>
      <c r="AR13" s="472">
        <v>0</v>
      </c>
      <c r="AS13" s="543">
        <v>25000</v>
      </c>
      <c r="AT13" s="473">
        <v>0</v>
      </c>
      <c r="AU13" s="472">
        <v>25000</v>
      </c>
      <c r="AW13" s="474">
        <v>204</v>
      </c>
      <c r="AX13" s="544">
        <f t="shared" si="2"/>
        <v>17</v>
      </c>
    </row>
    <row r="14" spans="1:50" s="474" customFormat="1" ht="40.049999999999997" customHeight="1" x14ac:dyDescent="0.3">
      <c r="A14" s="508"/>
      <c r="B14" s="320">
        <v>14</v>
      </c>
      <c r="C14" s="509">
        <v>0</v>
      </c>
      <c r="D14" s="320">
        <v>0</v>
      </c>
      <c r="E14" s="331">
        <v>0</v>
      </c>
      <c r="F14" s="320">
        <v>225</v>
      </c>
      <c r="G14" s="514">
        <v>43845</v>
      </c>
      <c r="H14" s="320">
        <v>0</v>
      </c>
      <c r="I14" s="322" t="str">
        <v>Aun Zaidi</v>
      </c>
      <c r="J14" s="322" t="str">
        <v>Data Analysis</v>
      </c>
      <c r="K14" s="322" t="str">
        <v>Trainee</v>
      </c>
      <c r="L14" s="331" t="str">
        <v>Azmeer</v>
      </c>
      <c r="M14" s="322" t="str">
        <v>HW</v>
      </c>
      <c r="N14" s="322" t="str">
        <v>ALL</v>
      </c>
      <c r="O14" s="320" t="str">
        <v>NP</v>
      </c>
      <c r="P14" s="510">
        <v>20000</v>
      </c>
      <c r="Q14" s="510">
        <v>12500</v>
      </c>
      <c r="R14" s="510">
        <v>5000</v>
      </c>
      <c r="S14" s="510">
        <v>1250</v>
      </c>
      <c r="T14" s="510">
        <v>1250</v>
      </c>
      <c r="U14" s="510">
        <v>20000</v>
      </c>
      <c r="V14" s="510">
        <v>0</v>
      </c>
      <c r="W14" s="510">
        <v>0</v>
      </c>
      <c r="X14" s="510">
        <v>0</v>
      </c>
      <c r="Y14" s="510">
        <v>0</v>
      </c>
      <c r="Z14" s="511">
        <v>0</v>
      </c>
      <c r="AA14" s="510">
        <v>116.95906432748536</v>
      </c>
      <c r="AB14" s="512">
        <v>0</v>
      </c>
      <c r="AC14" s="510">
        <v>0</v>
      </c>
      <c r="AD14" s="510">
        <v>20000</v>
      </c>
      <c r="AE14" s="510">
        <v>0</v>
      </c>
      <c r="AF14" s="510">
        <v>0</v>
      </c>
      <c r="AG14" s="510">
        <v>0</v>
      </c>
      <c r="AH14" s="510">
        <v>0</v>
      </c>
      <c r="AI14" s="510">
        <v>20000</v>
      </c>
      <c r="AJ14" s="470" t="str">
        <v>Habib Bank Limited</v>
      </c>
      <c r="AK14" s="470" t="str">
        <v>08780017874001</v>
      </c>
      <c r="AL14" s="469" t="str">
        <v>42101-6994069-3</v>
      </c>
      <c r="AM14" s="470" t="str">
        <v>SYED AJAZ HUSSAIN ZAIDI</v>
      </c>
      <c r="AN14" s="472">
        <v>20000</v>
      </c>
      <c r="AO14" s="472">
        <v>0</v>
      </c>
      <c r="AP14" s="472">
        <v>0</v>
      </c>
      <c r="AQ14" s="472">
        <v>0</v>
      </c>
      <c r="AR14" s="472">
        <v>0</v>
      </c>
      <c r="AS14" s="543">
        <v>20000</v>
      </c>
      <c r="AT14" s="473">
        <v>0</v>
      </c>
      <c r="AU14" s="545">
        <v>20000</v>
      </c>
      <c r="AW14" s="474">
        <v>135</v>
      </c>
      <c r="AX14" s="544">
        <f t="shared" si="2"/>
        <v>90</v>
      </c>
    </row>
    <row r="15" spans="1:50" s="474" customFormat="1" ht="40.049999999999997" customHeight="1" x14ac:dyDescent="0.3">
      <c r="A15" s="508"/>
      <c r="B15" s="320">
        <v>22</v>
      </c>
      <c r="C15" s="509">
        <v>43890</v>
      </c>
      <c r="D15" s="320">
        <v>10000</v>
      </c>
      <c r="E15" s="331">
        <v>0</v>
      </c>
      <c r="F15" s="320">
        <v>202</v>
      </c>
      <c r="G15" s="488">
        <v>43760</v>
      </c>
      <c r="H15" s="320" t="str">
        <v>CT</v>
      </c>
      <c r="I15" s="322" t="str">
        <v>Muhammad Huzaifa Haleem</v>
      </c>
      <c r="J15" s="322" t="str">
        <v>Marketing - SEO</v>
      </c>
      <c r="K15" s="322" t="str">
        <v>SEO Intern</v>
      </c>
      <c r="L15" s="331" t="str">
        <v>Muhammad Yousuf</v>
      </c>
      <c r="M15" s="322" t="str">
        <v>HW</v>
      </c>
      <c r="N15" s="322" t="str">
        <v>ALL</v>
      </c>
      <c r="O15" s="320" t="str">
        <v>NP</v>
      </c>
      <c r="P15" s="510">
        <v>25000</v>
      </c>
      <c r="Q15" s="510">
        <v>15625</v>
      </c>
      <c r="R15" s="510">
        <v>6250</v>
      </c>
      <c r="S15" s="510">
        <v>1562.5</v>
      </c>
      <c r="T15" s="510">
        <v>1562.5</v>
      </c>
      <c r="U15" s="510">
        <v>25000</v>
      </c>
      <c r="V15" s="510">
        <v>0</v>
      </c>
      <c r="W15" s="510">
        <v>0</v>
      </c>
      <c r="X15" s="510">
        <v>0</v>
      </c>
      <c r="Y15" s="510">
        <v>5</v>
      </c>
      <c r="Z15" s="511">
        <v>6578.9473684210534</v>
      </c>
      <c r="AA15" s="510">
        <v>146.19883040935673</v>
      </c>
      <c r="AB15" s="512">
        <v>15</v>
      </c>
      <c r="AC15" s="510">
        <v>2192.9824561403511</v>
      </c>
      <c r="AD15" s="510">
        <v>16228.070175438595</v>
      </c>
      <c r="AE15" s="510">
        <v>0</v>
      </c>
      <c r="AF15" s="510">
        <v>0</v>
      </c>
      <c r="AG15" s="510">
        <v>0</v>
      </c>
      <c r="AH15" s="510">
        <v>0</v>
      </c>
      <c r="AI15" s="510">
        <v>16228.070175438595</v>
      </c>
      <c r="AJ15" s="470" t="str">
        <v>NAYAPAY</v>
      </c>
      <c r="AK15" s="475" t="str">
        <v>03491838351</v>
      </c>
      <c r="AL15" s="469">
        <v>0</v>
      </c>
      <c r="AM15" s="470" t="str">
        <v>Muhammad Huzaifa Haleem</v>
      </c>
      <c r="AN15" s="472">
        <v>0</v>
      </c>
      <c r="AO15" s="472">
        <v>0</v>
      </c>
      <c r="AP15" s="472">
        <v>0</v>
      </c>
      <c r="AQ15" s="472">
        <v>0</v>
      </c>
      <c r="AR15" s="472">
        <v>0</v>
      </c>
      <c r="AS15" s="543">
        <v>0</v>
      </c>
      <c r="AT15" s="473">
        <v>16228.070175438595</v>
      </c>
      <c r="AU15" s="545">
        <v>16228.070175438595</v>
      </c>
      <c r="AW15" s="474">
        <v>142</v>
      </c>
      <c r="AX15" s="544">
        <f t="shared" si="2"/>
        <v>60</v>
      </c>
    </row>
    <row r="16" spans="1:50" s="474" customFormat="1" ht="40.049999999999997" customHeight="1" x14ac:dyDescent="0.3">
      <c r="A16" s="508"/>
      <c r="B16" s="320">
        <v>23</v>
      </c>
      <c r="C16" s="509">
        <v>0</v>
      </c>
      <c r="D16" s="320">
        <v>0</v>
      </c>
      <c r="E16" s="331">
        <v>0</v>
      </c>
      <c r="F16" s="320">
        <v>222</v>
      </c>
      <c r="G16" s="488">
        <v>43861</v>
      </c>
      <c r="H16" s="508">
        <v>0</v>
      </c>
      <c r="I16" s="322" t="str">
        <v>Moin Shaikh</v>
      </c>
      <c r="J16" s="322" t="str">
        <v>Marketing - SEO</v>
      </c>
      <c r="K16" s="322" t="str">
        <v>SEO Intern</v>
      </c>
      <c r="L16" s="331" t="str">
        <v>Muhammad Yousuf</v>
      </c>
      <c r="M16" s="322" t="str">
        <v>HW</v>
      </c>
      <c r="N16" s="322" t="str">
        <v>ALL</v>
      </c>
      <c r="O16" s="320" t="str">
        <v>NP</v>
      </c>
      <c r="P16" s="510">
        <v>20000</v>
      </c>
      <c r="Q16" s="510">
        <v>12500</v>
      </c>
      <c r="R16" s="510">
        <v>5000</v>
      </c>
      <c r="S16" s="510">
        <v>1250</v>
      </c>
      <c r="T16" s="510">
        <v>1250</v>
      </c>
      <c r="U16" s="510">
        <v>20000</v>
      </c>
      <c r="V16" s="510">
        <v>0</v>
      </c>
      <c r="W16" s="510">
        <v>0</v>
      </c>
      <c r="X16" s="510">
        <v>0</v>
      </c>
      <c r="Y16" s="510">
        <v>0</v>
      </c>
      <c r="Z16" s="511">
        <v>0</v>
      </c>
      <c r="AA16" s="510">
        <v>116.95906432748536</v>
      </c>
      <c r="AB16" s="512">
        <v>0</v>
      </c>
      <c r="AC16" s="510">
        <v>0</v>
      </c>
      <c r="AD16" s="510">
        <v>20000</v>
      </c>
      <c r="AE16" s="510">
        <v>0</v>
      </c>
      <c r="AF16" s="510">
        <v>0</v>
      </c>
      <c r="AG16" s="510">
        <v>0</v>
      </c>
      <c r="AH16" s="510">
        <v>0</v>
      </c>
      <c r="AI16" s="510">
        <v>20000</v>
      </c>
      <c r="AJ16" s="470" t="str">
        <v>Meezan Bank Limited</v>
      </c>
      <c r="AK16" s="475" t="str">
        <v>PK26MEZN0001430109041892</v>
      </c>
      <c r="AL16" s="469" t="str">
        <v>42101-2622969-7</v>
      </c>
      <c r="AM16" s="470" t="str">
        <v>MOHAMMAD MOIN UDDIN</v>
      </c>
      <c r="AN16" s="472">
        <v>0</v>
      </c>
      <c r="AO16" s="472">
        <v>0</v>
      </c>
      <c r="AP16" s="472">
        <v>0</v>
      </c>
      <c r="AQ16" s="472">
        <v>20000</v>
      </c>
      <c r="AR16" s="472">
        <v>0</v>
      </c>
      <c r="AS16" s="543">
        <v>20000</v>
      </c>
      <c r="AT16" s="473">
        <v>0</v>
      </c>
      <c r="AU16" s="545">
        <v>20000</v>
      </c>
      <c r="AW16" s="474">
        <v>149</v>
      </c>
      <c r="AX16" s="544">
        <f t="shared" si="2"/>
        <v>73</v>
      </c>
    </row>
    <row r="17" spans="1:50" s="474" customFormat="1" ht="40.049999999999997" customHeight="1" x14ac:dyDescent="0.3">
      <c r="A17" s="508"/>
      <c r="B17" s="320">
        <v>6</v>
      </c>
      <c r="C17" s="509">
        <v>43738</v>
      </c>
      <c r="D17" s="320">
        <v>5000</v>
      </c>
      <c r="E17" s="320">
        <v>7</v>
      </c>
      <c r="F17" s="320">
        <v>144</v>
      </c>
      <c r="G17" s="488" t="str">
        <v>Apr 2023</v>
      </c>
      <c r="H17" s="320" t="str">
        <v>CT</v>
      </c>
      <c r="I17" s="322" t="str">
        <v>Salman</v>
      </c>
      <c r="J17" s="322" t="str">
        <v>Administration</v>
      </c>
      <c r="K17" s="322" t="str">
        <v>Office Boy</v>
      </c>
      <c r="L17" s="320" t="str">
        <v>Mubashir</v>
      </c>
      <c r="M17" s="322" t="str">
        <v>ALL</v>
      </c>
      <c r="N17" s="322" t="str">
        <v>ALL</v>
      </c>
      <c r="O17" s="320" t="str">
        <v>P</v>
      </c>
      <c r="P17" s="510">
        <v>25000</v>
      </c>
      <c r="Q17" s="510">
        <v>15625</v>
      </c>
      <c r="R17" s="510">
        <v>6250</v>
      </c>
      <c r="S17" s="510">
        <v>1562.5</v>
      </c>
      <c r="T17" s="510">
        <v>1562.5</v>
      </c>
      <c r="U17" s="510">
        <v>25000</v>
      </c>
      <c r="V17" s="510">
        <v>0</v>
      </c>
      <c r="W17" s="510">
        <v>0</v>
      </c>
      <c r="X17" s="510">
        <v>0</v>
      </c>
      <c r="Y17" s="510">
        <v>0</v>
      </c>
      <c r="Z17" s="511">
        <v>0</v>
      </c>
      <c r="AA17" s="510">
        <v>146.19883040935673</v>
      </c>
      <c r="AB17" s="512">
        <v>0</v>
      </c>
      <c r="AC17" s="510">
        <v>0</v>
      </c>
      <c r="AD17" s="510">
        <v>25000</v>
      </c>
      <c r="AE17" s="510">
        <v>0</v>
      </c>
      <c r="AF17" s="510">
        <v>0</v>
      </c>
      <c r="AG17" s="510">
        <v>3000</v>
      </c>
      <c r="AH17" s="510">
        <v>0</v>
      </c>
      <c r="AI17" s="510">
        <v>22000</v>
      </c>
      <c r="AJ17" s="470" t="str">
        <v>Habib Bank Limited</v>
      </c>
      <c r="AK17" s="476" t="str">
        <v>0017-79008173-03</v>
      </c>
      <c r="AL17" s="469">
        <v>0</v>
      </c>
      <c r="AM17" s="470" t="str">
        <v>Amanullah</v>
      </c>
      <c r="AN17" s="472">
        <v>0</v>
      </c>
      <c r="AO17" s="472">
        <v>0</v>
      </c>
      <c r="AP17" s="472">
        <v>0</v>
      </c>
      <c r="AQ17" s="472">
        <v>0</v>
      </c>
      <c r="AR17" s="472">
        <v>22000</v>
      </c>
      <c r="AS17" s="543">
        <v>22000</v>
      </c>
      <c r="AT17" s="473">
        <v>0</v>
      </c>
      <c r="AU17" s="472">
        <v>22000</v>
      </c>
      <c r="AW17" s="474">
        <v>191</v>
      </c>
      <c r="AX17" s="544">
        <f t="shared" si="2"/>
        <v>-47</v>
      </c>
    </row>
    <row r="18" spans="1:50" s="474" customFormat="1" ht="40.049999999999997" customHeight="1" x14ac:dyDescent="0.3">
      <c r="A18" s="508"/>
      <c r="B18" s="320">
        <v>4</v>
      </c>
      <c r="C18" s="509">
        <v>43738</v>
      </c>
      <c r="D18" s="320">
        <v>5000</v>
      </c>
      <c r="E18" s="331">
        <v>7</v>
      </c>
      <c r="F18" s="320">
        <v>168</v>
      </c>
      <c r="G18" s="488" t="str">
        <v>01 Nov 2020 / 12 Sep 2022</v>
      </c>
      <c r="H18" s="320" t="str">
        <v>CT</v>
      </c>
      <c r="I18" s="322" t="str">
        <v>Ammanullah</v>
      </c>
      <c r="J18" s="322" t="str">
        <v>Administration</v>
      </c>
      <c r="K18" s="322" t="str">
        <v>Office Boy</v>
      </c>
      <c r="L18" s="331" t="str">
        <v>Mubashir</v>
      </c>
      <c r="M18" s="322" t="str">
        <v>ALL</v>
      </c>
      <c r="N18" s="322" t="str">
        <v>ALL</v>
      </c>
      <c r="O18" s="320" t="str">
        <v>P</v>
      </c>
      <c r="P18" s="510">
        <v>30000</v>
      </c>
      <c r="Q18" s="510">
        <v>18750</v>
      </c>
      <c r="R18" s="510">
        <v>7500</v>
      </c>
      <c r="S18" s="510">
        <v>1875</v>
      </c>
      <c r="T18" s="510">
        <v>1875</v>
      </c>
      <c r="U18" s="510">
        <v>30000</v>
      </c>
      <c r="V18" s="510">
        <v>0</v>
      </c>
      <c r="W18" s="510">
        <v>0</v>
      </c>
      <c r="X18" s="510">
        <v>0</v>
      </c>
      <c r="Y18" s="510">
        <v>0</v>
      </c>
      <c r="Z18" s="511">
        <v>0</v>
      </c>
      <c r="AA18" s="510">
        <v>175.43859649122808</v>
      </c>
      <c r="AB18" s="512">
        <v>0</v>
      </c>
      <c r="AC18" s="510">
        <v>0</v>
      </c>
      <c r="AD18" s="510">
        <v>30000</v>
      </c>
      <c r="AE18" s="510">
        <v>0</v>
      </c>
      <c r="AF18" s="510">
        <v>0</v>
      </c>
      <c r="AG18" s="510">
        <v>4000</v>
      </c>
      <c r="AH18" s="510">
        <v>5000</v>
      </c>
      <c r="AI18" s="510">
        <v>21000</v>
      </c>
      <c r="AJ18" s="470" t="str">
        <v>Habib Bank Limited</v>
      </c>
      <c r="AK18" s="471" t="str">
        <v>0017-79008173-03</v>
      </c>
      <c r="AL18" s="469" t="str">
        <v>32404-9685630-7</v>
      </c>
      <c r="AM18" s="470" t="str">
        <v>Amanullah</v>
      </c>
      <c r="AN18" s="472">
        <v>21000</v>
      </c>
      <c r="AO18" s="472">
        <v>0</v>
      </c>
      <c r="AP18" s="472">
        <v>0</v>
      </c>
      <c r="AQ18" s="472">
        <v>0</v>
      </c>
      <c r="AR18" s="472">
        <v>0</v>
      </c>
      <c r="AS18" s="543">
        <v>21000</v>
      </c>
      <c r="AT18" s="473">
        <v>0</v>
      </c>
      <c r="AU18" s="545">
        <v>21000</v>
      </c>
      <c r="AW18" s="474">
        <v>210</v>
      </c>
      <c r="AX18" s="544">
        <f t="shared" si="2"/>
        <v>-42</v>
      </c>
    </row>
    <row r="19" spans="1:50" s="474" customFormat="1" ht="40.049999999999997" customHeight="1" x14ac:dyDescent="0.3">
      <c r="A19" s="508"/>
      <c r="B19" s="320">
        <v>5</v>
      </c>
      <c r="C19" s="509">
        <v>43738</v>
      </c>
      <c r="D19" s="320">
        <v>5000</v>
      </c>
      <c r="E19" s="331">
        <v>7</v>
      </c>
      <c r="F19" s="320">
        <v>176</v>
      </c>
      <c r="G19" s="488">
        <v>43298</v>
      </c>
      <c r="H19" s="320" t="str">
        <v>CT</v>
      </c>
      <c r="I19" s="322" t="str">
        <v>Muhammad Irfan</v>
      </c>
      <c r="J19" s="322" t="str">
        <v>Administration</v>
      </c>
      <c r="K19" s="322" t="str">
        <v>Office Boy</v>
      </c>
      <c r="L19" s="331" t="str">
        <v>Mubashir</v>
      </c>
      <c r="M19" s="322" t="str">
        <v>ALL</v>
      </c>
      <c r="N19" s="322" t="str">
        <v>ALL</v>
      </c>
      <c r="O19" s="320" t="str">
        <v>P</v>
      </c>
      <c r="P19" s="510">
        <v>30000</v>
      </c>
      <c r="Q19" s="510">
        <v>18750</v>
      </c>
      <c r="R19" s="510">
        <v>7500</v>
      </c>
      <c r="S19" s="510">
        <v>1875</v>
      </c>
      <c r="T19" s="510">
        <v>1875</v>
      </c>
      <c r="U19" s="510">
        <v>30000</v>
      </c>
      <c r="V19" s="510">
        <v>0</v>
      </c>
      <c r="W19" s="510">
        <v>0</v>
      </c>
      <c r="X19" s="510">
        <v>0</v>
      </c>
      <c r="Y19" s="510">
        <v>0</v>
      </c>
      <c r="Z19" s="511">
        <v>0</v>
      </c>
      <c r="AA19" s="510">
        <v>175.43859649122808</v>
      </c>
      <c r="AB19" s="512">
        <v>0</v>
      </c>
      <c r="AC19" s="510">
        <v>0</v>
      </c>
      <c r="AD19" s="510">
        <v>30000</v>
      </c>
      <c r="AE19" s="510">
        <v>0</v>
      </c>
      <c r="AF19" s="510">
        <v>0</v>
      </c>
      <c r="AG19" s="510">
        <v>0</v>
      </c>
      <c r="AH19" s="510">
        <v>0</v>
      </c>
      <c r="AI19" s="510">
        <v>30000</v>
      </c>
      <c r="AJ19" s="470">
        <v>0</v>
      </c>
      <c r="AK19" s="476">
        <v>0</v>
      </c>
      <c r="AL19" s="469">
        <v>0</v>
      </c>
      <c r="AM19" s="470" t="str">
        <v>Amanullah</v>
      </c>
      <c r="AN19" s="472">
        <v>0</v>
      </c>
      <c r="AO19" s="472">
        <v>0</v>
      </c>
      <c r="AP19" s="472">
        <v>0</v>
      </c>
      <c r="AQ19" s="472">
        <v>0</v>
      </c>
      <c r="AR19" s="472">
        <v>30000</v>
      </c>
      <c r="AS19" s="543">
        <v>30000</v>
      </c>
      <c r="AT19" s="473">
        <v>0</v>
      </c>
      <c r="AU19" s="545">
        <v>30000</v>
      </c>
      <c r="AW19" s="474">
        <v>202</v>
      </c>
      <c r="AX19" s="544">
        <f t="shared" si="2"/>
        <v>-26</v>
      </c>
    </row>
    <row r="20" spans="1:50" s="474" customFormat="1" ht="40.049999999999997" customHeight="1" x14ac:dyDescent="0.3">
      <c r="A20" s="508"/>
      <c r="B20" s="320"/>
      <c r="C20" s="509"/>
      <c r="D20" s="320"/>
      <c r="E20" s="331"/>
      <c r="F20" s="320"/>
      <c r="G20" s="488"/>
      <c r="H20" s="320"/>
      <c r="I20" s="322"/>
      <c r="J20" s="322"/>
      <c r="K20" s="322"/>
      <c r="L20" s="331"/>
      <c r="M20" s="322"/>
      <c r="N20" s="322"/>
      <c r="O20" s="320"/>
      <c r="P20" s="510"/>
      <c r="Q20" s="510"/>
      <c r="R20" s="510"/>
      <c r="S20" s="510"/>
      <c r="T20" s="510"/>
      <c r="U20" s="510"/>
      <c r="V20" s="510"/>
      <c r="W20" s="510"/>
      <c r="X20" s="510"/>
      <c r="Y20" s="510"/>
      <c r="Z20" s="511"/>
      <c r="AA20" s="510"/>
      <c r="AB20" s="512"/>
      <c r="AC20" s="510"/>
      <c r="AD20" s="510"/>
      <c r="AE20" s="510"/>
      <c r="AF20" s="510"/>
      <c r="AG20" s="510"/>
      <c r="AH20" s="510"/>
      <c r="AI20" s="510"/>
      <c r="AJ20" s="470"/>
      <c r="AK20" s="470"/>
      <c r="AL20" s="469"/>
      <c r="AM20" s="470"/>
      <c r="AN20" s="472"/>
      <c r="AO20" s="472"/>
      <c r="AP20" s="472"/>
      <c r="AQ20" s="472"/>
      <c r="AR20" s="472"/>
      <c r="AS20" s="543"/>
      <c r="AT20" s="473"/>
      <c r="AU20" s="545"/>
      <c r="AW20" s="474">
        <v>250</v>
      </c>
      <c r="AX20" s="544">
        <f t="shared" si="2"/>
        <v>-250</v>
      </c>
    </row>
    <row r="21" spans="1:50" s="474" customFormat="1" ht="40.049999999999997" customHeight="1" x14ac:dyDescent="0.3">
      <c r="A21" s="508"/>
      <c r="B21" s="320"/>
      <c r="C21" s="509"/>
      <c r="D21" s="320"/>
      <c r="E21" s="331"/>
      <c r="F21" s="320"/>
      <c r="G21" s="488"/>
      <c r="H21" s="320"/>
      <c r="I21" s="322"/>
      <c r="J21" s="322"/>
      <c r="K21" s="322"/>
      <c r="L21" s="331"/>
      <c r="M21" s="322"/>
      <c r="N21" s="322"/>
      <c r="O21" s="320"/>
      <c r="P21" s="510"/>
      <c r="Q21" s="510"/>
      <c r="R21" s="510"/>
      <c r="S21" s="510"/>
      <c r="T21" s="510"/>
      <c r="U21" s="510"/>
      <c r="V21" s="510"/>
      <c r="W21" s="510"/>
      <c r="X21" s="510"/>
      <c r="Y21" s="510"/>
      <c r="Z21" s="511"/>
      <c r="AA21" s="510"/>
      <c r="AB21" s="512"/>
      <c r="AC21" s="510"/>
      <c r="AD21" s="510"/>
      <c r="AE21" s="510"/>
      <c r="AF21" s="510"/>
      <c r="AG21" s="510"/>
      <c r="AH21" s="510"/>
      <c r="AI21" s="510"/>
      <c r="AJ21" s="470"/>
      <c r="AK21" s="475"/>
      <c r="AL21" s="469"/>
      <c r="AM21" s="470"/>
      <c r="AN21" s="472"/>
      <c r="AO21" s="472"/>
      <c r="AP21" s="472"/>
      <c r="AQ21" s="472"/>
      <c r="AR21" s="472"/>
      <c r="AS21" s="543"/>
      <c r="AT21" s="473"/>
      <c r="AU21" s="545"/>
      <c r="AW21" s="474">
        <v>147</v>
      </c>
      <c r="AX21" s="544">
        <f t="shared" si="2"/>
        <v>-147</v>
      </c>
    </row>
    <row r="22" spans="1:50" s="474" customFormat="1" ht="40.049999999999997" customHeight="1" x14ac:dyDescent="0.3">
      <c r="A22" s="508"/>
      <c r="B22" s="320"/>
      <c r="C22" s="509"/>
      <c r="D22" s="320"/>
      <c r="E22" s="331"/>
      <c r="F22" s="320"/>
      <c r="G22" s="488"/>
      <c r="H22" s="320"/>
      <c r="I22" s="515"/>
      <c r="J22" s="515"/>
      <c r="K22" s="515"/>
      <c r="L22" s="331"/>
      <c r="M22" s="515"/>
      <c r="N22" s="515"/>
      <c r="O22" s="516"/>
      <c r="P22" s="510"/>
      <c r="Q22" s="510"/>
      <c r="R22" s="510"/>
      <c r="S22" s="510"/>
      <c r="T22" s="510"/>
      <c r="U22" s="510"/>
      <c r="V22" s="510"/>
      <c r="W22" s="510"/>
      <c r="X22" s="510"/>
      <c r="Y22" s="510"/>
      <c r="Z22" s="511"/>
      <c r="AA22" s="510"/>
      <c r="AB22" s="512"/>
      <c r="AC22" s="510"/>
      <c r="AD22" s="510"/>
      <c r="AE22" s="510"/>
      <c r="AF22" s="510"/>
      <c r="AG22" s="510"/>
      <c r="AH22" s="510"/>
      <c r="AI22" s="510"/>
      <c r="AJ22" s="470"/>
      <c r="AK22" s="475"/>
      <c r="AL22" s="469"/>
      <c r="AM22" s="470"/>
      <c r="AN22" s="472"/>
      <c r="AO22" s="472"/>
      <c r="AP22" s="472"/>
      <c r="AQ22" s="472"/>
      <c r="AR22" s="472"/>
      <c r="AS22" s="543"/>
      <c r="AT22" s="473"/>
      <c r="AU22" s="545"/>
      <c r="AW22" s="474">
        <v>173</v>
      </c>
      <c r="AX22" s="544">
        <f t="shared" si="2"/>
        <v>-173</v>
      </c>
    </row>
    <row r="23" spans="1:50" s="474" customFormat="1" ht="40.049999999999997" customHeight="1" x14ac:dyDescent="0.3">
      <c r="A23" s="508"/>
      <c r="B23" s="320"/>
      <c r="C23" s="509"/>
      <c r="D23" s="320"/>
      <c r="E23" s="331"/>
      <c r="F23" s="320"/>
      <c r="G23" s="321"/>
      <c r="H23" s="320"/>
      <c r="I23" s="322"/>
      <c r="J23" s="322"/>
      <c r="K23" s="322"/>
      <c r="L23" s="331"/>
      <c r="M23" s="322"/>
      <c r="N23" s="322"/>
      <c r="O23" s="320"/>
      <c r="P23" s="510"/>
      <c r="Q23" s="510"/>
      <c r="R23" s="510"/>
      <c r="S23" s="510"/>
      <c r="T23" s="510"/>
      <c r="U23" s="510"/>
      <c r="V23" s="510"/>
      <c r="W23" s="510"/>
      <c r="X23" s="510"/>
      <c r="Y23" s="510"/>
      <c r="Z23" s="511"/>
      <c r="AA23" s="510"/>
      <c r="AB23" s="512"/>
      <c r="AC23" s="510"/>
      <c r="AD23" s="510"/>
      <c r="AE23" s="510"/>
      <c r="AF23" s="510"/>
      <c r="AG23" s="510"/>
      <c r="AH23" s="510"/>
      <c r="AI23" s="510"/>
      <c r="AJ23" s="470"/>
      <c r="AK23" s="470"/>
      <c r="AL23" s="469"/>
      <c r="AM23" s="470"/>
      <c r="AN23" s="472"/>
      <c r="AO23" s="472"/>
      <c r="AP23" s="472"/>
      <c r="AQ23" s="472"/>
      <c r="AR23" s="472"/>
      <c r="AS23" s="543"/>
      <c r="AT23" s="473"/>
      <c r="AU23" s="472"/>
      <c r="AW23" s="474">
        <v>174</v>
      </c>
      <c r="AX23" s="544">
        <f t="shared" si="2"/>
        <v>-174</v>
      </c>
    </row>
    <row r="24" spans="1:50" s="474" customFormat="1" ht="40.049999999999997" customHeight="1" x14ac:dyDescent="0.3">
      <c r="A24" s="508"/>
      <c r="B24" s="320"/>
      <c r="C24" s="513"/>
      <c r="D24" s="320"/>
      <c r="E24" s="331"/>
      <c r="F24" s="320"/>
      <c r="G24" s="488"/>
      <c r="H24" s="320"/>
      <c r="I24" s="322"/>
      <c r="J24" s="322"/>
      <c r="K24" s="322"/>
      <c r="L24" s="331"/>
      <c r="M24" s="322"/>
      <c r="N24" s="322"/>
      <c r="O24" s="320"/>
      <c r="P24" s="510"/>
      <c r="Q24" s="510"/>
      <c r="R24" s="510"/>
      <c r="S24" s="510"/>
      <c r="T24" s="510"/>
      <c r="U24" s="510"/>
      <c r="V24" s="510"/>
      <c r="W24" s="510"/>
      <c r="X24" s="510"/>
      <c r="Y24" s="510"/>
      <c r="Z24" s="511"/>
      <c r="AA24" s="510"/>
      <c r="AB24" s="512"/>
      <c r="AC24" s="510"/>
      <c r="AD24" s="510"/>
      <c r="AE24" s="510"/>
      <c r="AF24" s="510"/>
      <c r="AG24" s="510"/>
      <c r="AH24" s="510"/>
      <c r="AI24" s="510"/>
      <c r="AJ24" s="470"/>
      <c r="AK24" s="470"/>
      <c r="AL24" s="469"/>
      <c r="AM24" s="470"/>
      <c r="AN24" s="472"/>
      <c r="AO24" s="472"/>
      <c r="AP24" s="472"/>
      <c r="AQ24" s="472"/>
      <c r="AR24" s="472"/>
      <c r="AS24" s="543"/>
      <c r="AT24" s="473"/>
      <c r="AU24" s="472"/>
      <c r="AW24" s="474">
        <v>177</v>
      </c>
      <c r="AX24" s="544">
        <f t="shared" si="2"/>
        <v>-177</v>
      </c>
    </row>
    <row r="25" spans="1:50" s="474" customFormat="1" ht="40.049999999999997" customHeight="1" x14ac:dyDescent="0.3">
      <c r="A25" s="508"/>
      <c r="B25" s="320"/>
      <c r="C25" s="509"/>
      <c r="D25" s="320"/>
      <c r="E25" s="331"/>
      <c r="F25" s="320"/>
      <c r="G25" s="488"/>
      <c r="H25" s="320"/>
      <c r="I25" s="322"/>
      <c r="J25" s="322"/>
      <c r="K25" s="322"/>
      <c r="L25" s="331"/>
      <c r="M25" s="322"/>
      <c r="N25" s="322"/>
      <c r="O25" s="320"/>
      <c r="P25" s="510"/>
      <c r="Q25" s="510"/>
      <c r="R25" s="510"/>
      <c r="S25" s="510"/>
      <c r="T25" s="510"/>
      <c r="U25" s="510"/>
      <c r="V25" s="510"/>
      <c r="W25" s="510"/>
      <c r="X25" s="510"/>
      <c r="Y25" s="510"/>
      <c r="Z25" s="511"/>
      <c r="AA25" s="510"/>
      <c r="AB25" s="512"/>
      <c r="AC25" s="510"/>
      <c r="AD25" s="510"/>
      <c r="AE25" s="510"/>
      <c r="AF25" s="510"/>
      <c r="AG25" s="510"/>
      <c r="AH25" s="510"/>
      <c r="AI25" s="510"/>
      <c r="AJ25" s="470"/>
      <c r="AK25" s="470"/>
      <c r="AL25" s="469"/>
      <c r="AM25" s="470"/>
      <c r="AN25" s="472"/>
      <c r="AO25" s="472"/>
      <c r="AP25" s="472"/>
      <c r="AQ25" s="472"/>
      <c r="AR25" s="472"/>
      <c r="AS25" s="543"/>
      <c r="AT25" s="473"/>
      <c r="AU25" s="472"/>
      <c r="AW25" s="474">
        <v>26</v>
      </c>
      <c r="AX25" s="544">
        <f t="shared" si="2"/>
        <v>-26</v>
      </c>
    </row>
    <row r="26" spans="1:50" s="474" customFormat="1" ht="40.049999999999997" customHeight="1" x14ac:dyDescent="0.3">
      <c r="A26" s="508"/>
      <c r="B26" s="320"/>
      <c r="C26" s="509"/>
      <c r="D26" s="320"/>
      <c r="E26" s="331"/>
      <c r="F26" s="320"/>
      <c r="G26" s="488"/>
      <c r="H26" s="320"/>
      <c r="I26" s="322"/>
      <c r="J26" s="322"/>
      <c r="K26" s="322"/>
      <c r="L26" s="331"/>
      <c r="M26" s="322"/>
      <c r="N26" s="322"/>
      <c r="O26" s="320"/>
      <c r="P26" s="510"/>
      <c r="Q26" s="510"/>
      <c r="R26" s="510"/>
      <c r="S26" s="510"/>
      <c r="T26" s="510"/>
      <c r="U26" s="510"/>
      <c r="V26" s="510"/>
      <c r="W26" s="510"/>
      <c r="X26" s="510"/>
      <c r="Y26" s="510"/>
      <c r="Z26" s="511"/>
      <c r="AA26" s="510"/>
      <c r="AB26" s="512"/>
      <c r="AC26" s="510"/>
      <c r="AD26" s="510"/>
      <c r="AE26" s="510"/>
      <c r="AF26" s="510"/>
      <c r="AG26" s="510"/>
      <c r="AH26" s="510"/>
      <c r="AI26" s="510"/>
      <c r="AJ26" s="470"/>
      <c r="AK26" s="470"/>
      <c r="AL26" s="469"/>
      <c r="AM26" s="470"/>
      <c r="AN26" s="472"/>
      <c r="AO26" s="472"/>
      <c r="AP26" s="472"/>
      <c r="AQ26" s="472"/>
      <c r="AR26" s="472"/>
      <c r="AS26" s="543"/>
      <c r="AT26" s="473"/>
      <c r="AU26" s="472"/>
      <c r="AW26" s="474">
        <v>189</v>
      </c>
      <c r="AX26" s="544">
        <f t="shared" si="2"/>
        <v>-189</v>
      </c>
    </row>
    <row r="27" spans="1:50" s="474" customFormat="1" ht="40.049999999999997" customHeight="1" x14ac:dyDescent="0.3">
      <c r="A27" s="508"/>
      <c r="B27" s="320"/>
      <c r="C27" s="509"/>
      <c r="D27" s="320"/>
      <c r="E27" s="331"/>
      <c r="F27" s="320"/>
      <c r="G27" s="488"/>
      <c r="H27" s="320"/>
      <c r="I27" s="322"/>
      <c r="J27" s="322"/>
      <c r="K27" s="322"/>
      <c r="L27" s="331"/>
      <c r="M27" s="322"/>
      <c r="N27" s="322"/>
      <c r="O27" s="320"/>
      <c r="P27" s="510"/>
      <c r="Q27" s="510"/>
      <c r="R27" s="510"/>
      <c r="S27" s="510"/>
      <c r="T27" s="510"/>
      <c r="U27" s="510"/>
      <c r="V27" s="510"/>
      <c r="W27" s="510"/>
      <c r="X27" s="510"/>
      <c r="Y27" s="510"/>
      <c r="Z27" s="511"/>
      <c r="AA27" s="510"/>
      <c r="AB27" s="512"/>
      <c r="AC27" s="510"/>
      <c r="AD27" s="510"/>
      <c r="AE27" s="510"/>
      <c r="AF27" s="510"/>
      <c r="AG27" s="510"/>
      <c r="AH27" s="510"/>
      <c r="AI27" s="510"/>
      <c r="AJ27" s="470"/>
      <c r="AK27" s="470"/>
      <c r="AL27" s="469"/>
      <c r="AM27" s="470"/>
      <c r="AN27" s="472"/>
      <c r="AO27" s="472"/>
      <c r="AP27" s="472"/>
      <c r="AQ27" s="472"/>
      <c r="AR27" s="472"/>
      <c r="AS27" s="543"/>
      <c r="AT27" s="473"/>
      <c r="AU27" s="472"/>
      <c r="AW27" s="474">
        <v>221</v>
      </c>
      <c r="AX27" s="544">
        <f t="shared" si="2"/>
        <v>-221</v>
      </c>
    </row>
    <row r="28" spans="1:50" s="474" customFormat="1" ht="40.049999999999997" customHeight="1" x14ac:dyDescent="0.3">
      <c r="A28" s="508"/>
      <c r="B28" s="320"/>
      <c r="C28" s="509"/>
      <c r="D28" s="320"/>
      <c r="E28" s="331"/>
      <c r="F28" s="320"/>
      <c r="G28" s="488"/>
      <c r="H28" s="320"/>
      <c r="I28" s="322"/>
      <c r="J28" s="322"/>
      <c r="K28" s="322"/>
      <c r="L28" s="331"/>
      <c r="M28" s="322"/>
      <c r="N28" s="322"/>
      <c r="O28" s="320"/>
      <c r="P28" s="510"/>
      <c r="Q28" s="510"/>
      <c r="R28" s="510"/>
      <c r="S28" s="510"/>
      <c r="T28" s="510"/>
      <c r="U28" s="510"/>
      <c r="V28" s="510"/>
      <c r="W28" s="510"/>
      <c r="X28" s="510"/>
      <c r="Y28" s="510"/>
      <c r="Z28" s="511"/>
      <c r="AA28" s="510"/>
      <c r="AB28" s="512"/>
      <c r="AC28" s="510"/>
      <c r="AD28" s="510"/>
      <c r="AE28" s="510"/>
      <c r="AF28" s="510"/>
      <c r="AG28" s="510"/>
      <c r="AH28" s="510"/>
      <c r="AI28" s="510"/>
      <c r="AJ28" s="470"/>
      <c r="AK28" s="470"/>
      <c r="AL28" s="469"/>
      <c r="AM28" s="470"/>
      <c r="AN28" s="472"/>
      <c r="AO28" s="472"/>
      <c r="AP28" s="472"/>
      <c r="AQ28" s="472"/>
      <c r="AR28" s="472"/>
      <c r="AS28" s="543"/>
      <c r="AT28" s="473"/>
      <c r="AU28" s="472"/>
      <c r="AW28" s="474">
        <v>97</v>
      </c>
      <c r="AX28" s="544">
        <f t="shared" si="2"/>
        <v>-97</v>
      </c>
    </row>
    <row r="29" spans="1:50" s="474" customFormat="1" ht="40.049999999999997" customHeight="1" x14ac:dyDescent="0.3">
      <c r="A29" s="508"/>
      <c r="B29" s="320"/>
      <c r="C29" s="509"/>
      <c r="D29" s="320"/>
      <c r="E29" s="331"/>
      <c r="F29" s="320"/>
      <c r="G29" s="488"/>
      <c r="H29" s="320"/>
      <c r="I29" s="322"/>
      <c r="J29" s="322"/>
      <c r="K29" s="322"/>
      <c r="L29" s="331"/>
      <c r="M29" s="322"/>
      <c r="N29" s="322"/>
      <c r="O29" s="320"/>
      <c r="P29" s="510"/>
      <c r="Q29" s="510"/>
      <c r="R29" s="510"/>
      <c r="S29" s="510"/>
      <c r="T29" s="510"/>
      <c r="U29" s="510"/>
      <c r="V29" s="510"/>
      <c r="W29" s="510"/>
      <c r="X29" s="510"/>
      <c r="Y29" s="510"/>
      <c r="Z29" s="511"/>
      <c r="AA29" s="510"/>
      <c r="AB29" s="512"/>
      <c r="AC29" s="510"/>
      <c r="AD29" s="510"/>
      <c r="AE29" s="510"/>
      <c r="AF29" s="510"/>
      <c r="AG29" s="510"/>
      <c r="AH29" s="510"/>
      <c r="AI29" s="510"/>
      <c r="AJ29" s="470"/>
      <c r="AK29" s="470"/>
      <c r="AL29" s="469"/>
      <c r="AM29" s="470"/>
      <c r="AN29" s="472"/>
      <c r="AO29" s="472"/>
      <c r="AP29" s="472"/>
      <c r="AQ29" s="472"/>
      <c r="AR29" s="472"/>
      <c r="AS29" s="543"/>
      <c r="AT29" s="473"/>
      <c r="AU29" s="472"/>
      <c r="AW29" s="474">
        <v>113</v>
      </c>
      <c r="AX29" s="544">
        <f t="shared" si="2"/>
        <v>-113</v>
      </c>
    </row>
    <row r="30" spans="1:50" s="474" customFormat="1" ht="40.049999999999997" customHeight="1" x14ac:dyDescent="0.3">
      <c r="A30" s="508"/>
      <c r="B30" s="320"/>
      <c r="C30" s="509"/>
      <c r="D30" s="320"/>
      <c r="E30" s="331"/>
      <c r="F30" s="320"/>
      <c r="G30" s="488"/>
      <c r="H30" s="320"/>
      <c r="I30" s="322"/>
      <c r="J30" s="322"/>
      <c r="K30" s="322"/>
      <c r="L30" s="331"/>
      <c r="M30" s="322"/>
      <c r="N30" s="322"/>
      <c r="O30" s="320"/>
      <c r="P30" s="510"/>
      <c r="Q30" s="510"/>
      <c r="R30" s="510"/>
      <c r="S30" s="510"/>
      <c r="T30" s="510"/>
      <c r="U30" s="510"/>
      <c r="V30" s="510"/>
      <c r="W30" s="510"/>
      <c r="X30" s="510"/>
      <c r="Y30" s="510"/>
      <c r="Z30" s="511"/>
      <c r="AA30" s="510"/>
      <c r="AB30" s="512"/>
      <c r="AC30" s="510"/>
      <c r="AD30" s="510"/>
      <c r="AE30" s="510"/>
      <c r="AF30" s="510"/>
      <c r="AG30" s="510"/>
      <c r="AH30" s="510"/>
      <c r="AI30" s="510"/>
      <c r="AJ30" s="470"/>
      <c r="AK30" s="470"/>
      <c r="AL30" s="469"/>
      <c r="AM30" s="470"/>
      <c r="AN30" s="472"/>
      <c r="AO30" s="472"/>
      <c r="AP30" s="472"/>
      <c r="AQ30" s="472"/>
      <c r="AR30" s="472"/>
      <c r="AS30" s="543"/>
      <c r="AT30" s="473"/>
      <c r="AU30" s="472"/>
      <c r="AW30" s="474">
        <v>107</v>
      </c>
      <c r="AX30" s="544">
        <f t="shared" si="2"/>
        <v>-107</v>
      </c>
    </row>
    <row r="31" spans="1:50" s="474" customFormat="1" ht="40.049999999999997" customHeight="1" x14ac:dyDescent="0.3">
      <c r="A31" s="508"/>
      <c r="B31" s="320"/>
      <c r="C31" s="509"/>
      <c r="D31" s="320"/>
      <c r="E31" s="331"/>
      <c r="F31" s="320"/>
      <c r="G31" s="488"/>
      <c r="H31" s="320"/>
      <c r="I31" s="322"/>
      <c r="J31" s="322"/>
      <c r="K31" s="322"/>
      <c r="L31" s="331"/>
      <c r="M31" s="322"/>
      <c r="N31" s="322"/>
      <c r="O31" s="320"/>
      <c r="P31" s="510"/>
      <c r="Q31" s="510"/>
      <c r="R31" s="510"/>
      <c r="S31" s="510"/>
      <c r="T31" s="510"/>
      <c r="U31" s="510"/>
      <c r="V31" s="510"/>
      <c r="W31" s="510"/>
      <c r="X31" s="510"/>
      <c r="Y31" s="510"/>
      <c r="Z31" s="511"/>
      <c r="AA31" s="510"/>
      <c r="AB31" s="512"/>
      <c r="AC31" s="510"/>
      <c r="AD31" s="510"/>
      <c r="AE31" s="510"/>
      <c r="AF31" s="510"/>
      <c r="AG31" s="510"/>
      <c r="AH31" s="510"/>
      <c r="AI31" s="510"/>
      <c r="AJ31" s="470"/>
      <c r="AK31" s="470"/>
      <c r="AL31" s="469"/>
      <c r="AM31" s="470"/>
      <c r="AN31" s="472"/>
      <c r="AO31" s="472"/>
      <c r="AP31" s="472"/>
      <c r="AQ31" s="472"/>
      <c r="AR31" s="472"/>
      <c r="AS31" s="543"/>
      <c r="AT31" s="473"/>
      <c r="AU31" s="472"/>
      <c r="AW31" s="474">
        <v>82</v>
      </c>
      <c r="AX31" s="544">
        <f t="shared" si="2"/>
        <v>-82</v>
      </c>
    </row>
    <row r="32" spans="1:50" s="474" customFormat="1" ht="40.049999999999997" customHeight="1" x14ac:dyDescent="0.3">
      <c r="A32" s="508"/>
      <c r="B32" s="320"/>
      <c r="C32" s="509"/>
      <c r="D32" s="320"/>
      <c r="E32" s="331"/>
      <c r="F32" s="320"/>
      <c r="G32" s="488"/>
      <c r="H32" s="320"/>
      <c r="I32" s="322"/>
      <c r="J32" s="322"/>
      <c r="K32" s="322"/>
      <c r="L32" s="331"/>
      <c r="M32" s="322"/>
      <c r="N32" s="322"/>
      <c r="O32" s="320"/>
      <c r="P32" s="510"/>
      <c r="Q32" s="510"/>
      <c r="R32" s="510"/>
      <c r="S32" s="510"/>
      <c r="T32" s="510"/>
      <c r="U32" s="510"/>
      <c r="V32" s="510"/>
      <c r="W32" s="510"/>
      <c r="X32" s="510"/>
      <c r="Y32" s="510"/>
      <c r="Z32" s="511"/>
      <c r="AA32" s="510"/>
      <c r="AB32" s="512"/>
      <c r="AC32" s="510"/>
      <c r="AD32" s="510"/>
      <c r="AE32" s="510"/>
      <c r="AF32" s="510"/>
      <c r="AG32" s="510"/>
      <c r="AH32" s="510"/>
      <c r="AI32" s="510"/>
      <c r="AJ32" s="470"/>
      <c r="AK32" s="470"/>
      <c r="AL32" s="469"/>
      <c r="AM32" s="470"/>
      <c r="AN32" s="472"/>
      <c r="AO32" s="472"/>
      <c r="AP32" s="472"/>
      <c r="AQ32" s="472"/>
      <c r="AR32" s="472"/>
      <c r="AS32" s="543"/>
      <c r="AT32" s="473"/>
      <c r="AU32" s="472"/>
      <c r="AW32" s="474">
        <v>133</v>
      </c>
      <c r="AX32" s="544">
        <f t="shared" si="2"/>
        <v>-133</v>
      </c>
    </row>
    <row r="33" spans="1:50" s="474" customFormat="1" ht="40.049999999999997" customHeight="1" x14ac:dyDescent="0.3">
      <c r="A33" s="508"/>
      <c r="B33" s="320"/>
      <c r="C33" s="509"/>
      <c r="D33" s="320"/>
      <c r="E33" s="331"/>
      <c r="F33" s="320"/>
      <c r="G33" s="488"/>
      <c r="H33" s="320"/>
      <c r="I33" s="322"/>
      <c r="J33" s="322"/>
      <c r="K33" s="322"/>
      <c r="L33" s="331"/>
      <c r="M33" s="322"/>
      <c r="N33" s="322"/>
      <c r="O33" s="320"/>
      <c r="P33" s="510"/>
      <c r="Q33" s="510"/>
      <c r="R33" s="510"/>
      <c r="S33" s="510"/>
      <c r="T33" s="510"/>
      <c r="U33" s="510"/>
      <c r="V33" s="510"/>
      <c r="W33" s="510"/>
      <c r="X33" s="510"/>
      <c r="Y33" s="510"/>
      <c r="Z33" s="511"/>
      <c r="AA33" s="510"/>
      <c r="AB33" s="512"/>
      <c r="AC33" s="510"/>
      <c r="AD33" s="510"/>
      <c r="AE33" s="510"/>
      <c r="AF33" s="510"/>
      <c r="AG33" s="510"/>
      <c r="AH33" s="510"/>
      <c r="AI33" s="510"/>
      <c r="AJ33" s="470"/>
      <c r="AK33" s="470"/>
      <c r="AL33" s="469"/>
      <c r="AM33" s="470"/>
      <c r="AN33" s="472"/>
      <c r="AO33" s="472"/>
      <c r="AP33" s="472"/>
      <c r="AQ33" s="472"/>
      <c r="AR33" s="472"/>
      <c r="AS33" s="543"/>
      <c r="AT33" s="473"/>
      <c r="AU33" s="472"/>
      <c r="AW33" s="474">
        <v>119</v>
      </c>
      <c r="AX33" s="544">
        <f t="shared" si="2"/>
        <v>-119</v>
      </c>
    </row>
    <row r="34" spans="1:50" s="474" customFormat="1" ht="40.049999999999997" customHeight="1" x14ac:dyDescent="0.3">
      <c r="A34" s="508"/>
      <c r="B34" s="320"/>
      <c r="C34" s="509"/>
      <c r="D34" s="320"/>
      <c r="E34" s="331"/>
      <c r="F34" s="320"/>
      <c r="G34" s="488"/>
      <c r="H34" s="320"/>
      <c r="I34" s="322"/>
      <c r="J34" s="322"/>
      <c r="K34" s="322"/>
      <c r="L34" s="331"/>
      <c r="M34" s="322"/>
      <c r="N34" s="322"/>
      <c r="O34" s="320"/>
      <c r="P34" s="510"/>
      <c r="Q34" s="510"/>
      <c r="R34" s="510"/>
      <c r="S34" s="510"/>
      <c r="T34" s="510"/>
      <c r="U34" s="510"/>
      <c r="V34" s="510"/>
      <c r="W34" s="510"/>
      <c r="X34" s="510"/>
      <c r="Y34" s="510"/>
      <c r="Z34" s="511"/>
      <c r="AA34" s="510"/>
      <c r="AB34" s="512"/>
      <c r="AC34" s="510"/>
      <c r="AD34" s="510"/>
      <c r="AE34" s="510"/>
      <c r="AF34" s="510"/>
      <c r="AG34" s="510"/>
      <c r="AH34" s="510"/>
      <c r="AI34" s="510"/>
      <c r="AJ34" s="470"/>
      <c r="AK34" s="470"/>
      <c r="AL34" s="469"/>
      <c r="AM34" s="470"/>
      <c r="AN34" s="472"/>
      <c r="AO34" s="472"/>
      <c r="AP34" s="472"/>
      <c r="AQ34" s="472"/>
      <c r="AR34" s="472"/>
      <c r="AS34" s="543"/>
      <c r="AT34" s="473"/>
      <c r="AU34" s="472"/>
      <c r="AW34" s="474">
        <v>187</v>
      </c>
      <c r="AX34" s="544">
        <f t="shared" si="2"/>
        <v>-187</v>
      </c>
    </row>
    <row r="35" spans="1:50" s="474" customFormat="1" ht="40.049999999999997" customHeight="1" x14ac:dyDescent="0.3">
      <c r="A35" s="508"/>
      <c r="B35" s="320"/>
      <c r="C35" s="509"/>
      <c r="D35" s="320"/>
      <c r="E35" s="331"/>
      <c r="F35" s="320"/>
      <c r="G35" s="488"/>
      <c r="H35" s="320"/>
      <c r="I35" s="322"/>
      <c r="J35" s="322"/>
      <c r="K35" s="322"/>
      <c r="L35" s="331"/>
      <c r="M35" s="322"/>
      <c r="N35" s="322"/>
      <c r="O35" s="320"/>
      <c r="P35" s="510"/>
      <c r="Q35" s="510"/>
      <c r="R35" s="510"/>
      <c r="S35" s="510"/>
      <c r="T35" s="510"/>
      <c r="U35" s="510"/>
      <c r="V35" s="510"/>
      <c r="W35" s="510"/>
      <c r="X35" s="510"/>
      <c r="Y35" s="510"/>
      <c r="Z35" s="511"/>
      <c r="AA35" s="510"/>
      <c r="AB35" s="512"/>
      <c r="AC35" s="510"/>
      <c r="AD35" s="510"/>
      <c r="AE35" s="510"/>
      <c r="AF35" s="510"/>
      <c r="AG35" s="510"/>
      <c r="AH35" s="510"/>
      <c r="AI35" s="510"/>
      <c r="AJ35" s="470"/>
      <c r="AK35" s="470"/>
      <c r="AL35" s="469"/>
      <c r="AM35" s="470"/>
      <c r="AN35" s="472"/>
      <c r="AO35" s="472"/>
      <c r="AP35" s="472"/>
      <c r="AQ35" s="472"/>
      <c r="AR35" s="472"/>
      <c r="AS35" s="543"/>
      <c r="AT35" s="473"/>
      <c r="AU35" s="472"/>
      <c r="AW35" s="474">
        <v>155</v>
      </c>
      <c r="AX35" s="544">
        <f t="shared" si="2"/>
        <v>-155</v>
      </c>
    </row>
    <row r="36" spans="1:50" s="474" customFormat="1" ht="40.049999999999997" customHeight="1" x14ac:dyDescent="0.3">
      <c r="A36" s="508"/>
      <c r="B36" s="320"/>
      <c r="C36" s="509"/>
      <c r="D36" s="320"/>
      <c r="E36" s="331"/>
      <c r="F36" s="320"/>
      <c r="G36" s="488"/>
      <c r="H36" s="320"/>
      <c r="I36" s="322"/>
      <c r="J36" s="322"/>
      <c r="K36" s="322"/>
      <c r="L36" s="331"/>
      <c r="M36" s="322"/>
      <c r="N36" s="322"/>
      <c r="O36" s="320"/>
      <c r="P36" s="510"/>
      <c r="Q36" s="510"/>
      <c r="R36" s="510"/>
      <c r="S36" s="510"/>
      <c r="T36" s="510"/>
      <c r="U36" s="510"/>
      <c r="V36" s="510"/>
      <c r="W36" s="510"/>
      <c r="X36" s="510"/>
      <c r="Y36" s="510"/>
      <c r="Z36" s="511"/>
      <c r="AA36" s="510"/>
      <c r="AB36" s="512"/>
      <c r="AC36" s="510"/>
      <c r="AD36" s="510"/>
      <c r="AE36" s="510"/>
      <c r="AF36" s="510"/>
      <c r="AG36" s="510"/>
      <c r="AH36" s="510"/>
      <c r="AI36" s="510"/>
      <c r="AJ36" s="470"/>
      <c r="AK36" s="470"/>
      <c r="AL36" s="469"/>
      <c r="AM36" s="470"/>
      <c r="AN36" s="472"/>
      <c r="AO36" s="472"/>
      <c r="AP36" s="472"/>
      <c r="AQ36" s="472"/>
      <c r="AR36" s="472"/>
      <c r="AS36" s="543"/>
      <c r="AT36" s="473"/>
      <c r="AU36" s="472"/>
      <c r="AW36" s="474">
        <v>225</v>
      </c>
      <c r="AX36" s="544">
        <f t="shared" si="2"/>
        <v>-225</v>
      </c>
    </row>
    <row r="37" spans="1:50" s="474" customFormat="1" ht="40.049999999999997" customHeight="1" x14ac:dyDescent="0.3">
      <c r="A37" s="508"/>
      <c r="B37" s="320"/>
      <c r="C37" s="509"/>
      <c r="D37" s="320"/>
      <c r="E37" s="331"/>
      <c r="F37" s="320"/>
      <c r="G37" s="488"/>
      <c r="H37" s="320"/>
      <c r="I37" s="322"/>
      <c r="J37" s="322"/>
      <c r="K37" s="322"/>
      <c r="L37" s="331"/>
      <c r="M37" s="322"/>
      <c r="N37" s="322"/>
      <c r="O37" s="320"/>
      <c r="P37" s="510"/>
      <c r="Q37" s="510"/>
      <c r="R37" s="510"/>
      <c r="S37" s="510"/>
      <c r="T37" s="510"/>
      <c r="U37" s="510"/>
      <c r="V37" s="510"/>
      <c r="W37" s="510"/>
      <c r="X37" s="510"/>
      <c r="Y37" s="510"/>
      <c r="Z37" s="511"/>
      <c r="AA37" s="510"/>
      <c r="AB37" s="512"/>
      <c r="AC37" s="510"/>
      <c r="AD37" s="510"/>
      <c r="AE37" s="510"/>
      <c r="AF37" s="510"/>
      <c r="AG37" s="510"/>
      <c r="AH37" s="510"/>
      <c r="AI37" s="510"/>
      <c r="AJ37" s="470"/>
      <c r="AK37" s="470"/>
      <c r="AL37" s="469"/>
      <c r="AM37" s="470"/>
      <c r="AN37" s="472"/>
      <c r="AO37" s="472"/>
      <c r="AP37" s="472"/>
      <c r="AQ37" s="472"/>
      <c r="AR37" s="472"/>
      <c r="AS37" s="543"/>
      <c r="AT37" s="473"/>
      <c r="AU37" s="472"/>
      <c r="AW37" s="474">
        <v>150</v>
      </c>
      <c r="AX37" s="544">
        <f t="shared" si="2"/>
        <v>-150</v>
      </c>
    </row>
    <row r="38" spans="1:50" s="474" customFormat="1" ht="40.049999999999997" customHeight="1" x14ac:dyDescent="0.3">
      <c r="A38" s="508"/>
      <c r="B38" s="320"/>
      <c r="C38" s="509"/>
      <c r="D38" s="320"/>
      <c r="E38" s="331"/>
      <c r="F38" s="320"/>
      <c r="G38" s="488"/>
      <c r="H38" s="320"/>
      <c r="I38" s="322"/>
      <c r="J38" s="322"/>
      <c r="K38" s="322"/>
      <c r="L38" s="331"/>
      <c r="M38" s="322"/>
      <c r="N38" s="322"/>
      <c r="O38" s="320"/>
      <c r="P38" s="510"/>
      <c r="Q38" s="510"/>
      <c r="R38" s="510"/>
      <c r="S38" s="510"/>
      <c r="T38" s="510"/>
      <c r="U38" s="510"/>
      <c r="V38" s="510"/>
      <c r="W38" s="510"/>
      <c r="X38" s="510"/>
      <c r="Y38" s="510"/>
      <c r="Z38" s="511"/>
      <c r="AA38" s="510"/>
      <c r="AB38" s="512"/>
      <c r="AC38" s="510"/>
      <c r="AD38" s="510"/>
      <c r="AE38" s="510"/>
      <c r="AF38" s="510"/>
      <c r="AG38" s="510"/>
      <c r="AH38" s="510"/>
      <c r="AI38" s="510"/>
      <c r="AJ38" s="470"/>
      <c r="AK38" s="470"/>
      <c r="AL38" s="469"/>
      <c r="AM38" s="470"/>
      <c r="AN38" s="472"/>
      <c r="AO38" s="472"/>
      <c r="AP38" s="472"/>
      <c r="AQ38" s="472"/>
      <c r="AR38" s="472"/>
      <c r="AS38" s="543"/>
      <c r="AT38" s="473"/>
      <c r="AU38" s="472"/>
      <c r="AW38" s="474">
        <v>8</v>
      </c>
      <c r="AX38" s="544">
        <f t="shared" si="2"/>
        <v>-8</v>
      </c>
    </row>
    <row r="39" spans="1:50" s="474" customFormat="1" ht="40.049999999999997" customHeight="1" x14ac:dyDescent="0.3">
      <c r="A39" s="508"/>
      <c r="B39" s="320"/>
      <c r="C39" s="509"/>
      <c r="D39" s="320"/>
      <c r="E39" s="331"/>
      <c r="F39" s="320"/>
      <c r="G39" s="488"/>
      <c r="H39" s="320"/>
      <c r="I39" s="322"/>
      <c r="J39" s="322"/>
      <c r="K39" s="322"/>
      <c r="L39" s="331"/>
      <c r="M39" s="322"/>
      <c r="N39" s="322"/>
      <c r="O39" s="320"/>
      <c r="P39" s="510"/>
      <c r="Q39" s="510"/>
      <c r="R39" s="510"/>
      <c r="S39" s="510"/>
      <c r="T39" s="510"/>
      <c r="U39" s="510"/>
      <c r="V39" s="510"/>
      <c r="W39" s="510"/>
      <c r="X39" s="510"/>
      <c r="Y39" s="510"/>
      <c r="Z39" s="511"/>
      <c r="AA39" s="510"/>
      <c r="AB39" s="512"/>
      <c r="AC39" s="510"/>
      <c r="AD39" s="510"/>
      <c r="AE39" s="510"/>
      <c r="AF39" s="510"/>
      <c r="AG39" s="510"/>
      <c r="AH39" s="510"/>
      <c r="AI39" s="510"/>
      <c r="AJ39" s="470"/>
      <c r="AK39" s="470"/>
      <c r="AL39" s="469"/>
      <c r="AM39" s="470"/>
      <c r="AN39" s="472"/>
      <c r="AO39" s="472"/>
      <c r="AP39" s="472"/>
      <c r="AQ39" s="472"/>
      <c r="AR39" s="472"/>
      <c r="AS39" s="543"/>
      <c r="AT39" s="473"/>
      <c r="AU39" s="472"/>
      <c r="AW39" s="474">
        <v>182</v>
      </c>
      <c r="AX39" s="544">
        <f t="shared" si="2"/>
        <v>-182</v>
      </c>
    </row>
    <row r="40" spans="1:50" s="474" customFormat="1" ht="40.049999999999997" customHeight="1" x14ac:dyDescent="0.3">
      <c r="A40" s="508"/>
      <c r="B40" s="320"/>
      <c r="C40" s="509"/>
      <c r="D40" s="320"/>
      <c r="E40" s="331"/>
      <c r="F40" s="320"/>
      <c r="G40" s="488"/>
      <c r="H40" s="320"/>
      <c r="I40" s="322"/>
      <c r="J40" s="322"/>
      <c r="K40" s="322"/>
      <c r="L40" s="331"/>
      <c r="M40" s="322"/>
      <c r="N40" s="322"/>
      <c r="O40" s="320"/>
      <c r="P40" s="510"/>
      <c r="Q40" s="510"/>
      <c r="R40" s="510"/>
      <c r="S40" s="510"/>
      <c r="T40" s="510"/>
      <c r="U40" s="510"/>
      <c r="V40" s="510"/>
      <c r="W40" s="510"/>
      <c r="X40" s="510"/>
      <c r="Y40" s="510"/>
      <c r="Z40" s="511"/>
      <c r="AA40" s="510"/>
      <c r="AB40" s="512"/>
      <c r="AC40" s="510"/>
      <c r="AD40" s="510"/>
      <c r="AE40" s="510"/>
      <c r="AF40" s="510"/>
      <c r="AG40" s="510"/>
      <c r="AH40" s="510"/>
      <c r="AI40" s="510"/>
      <c r="AJ40" s="470"/>
      <c r="AK40" s="470"/>
      <c r="AL40" s="469"/>
      <c r="AM40" s="470"/>
      <c r="AN40" s="472"/>
      <c r="AO40" s="472"/>
      <c r="AP40" s="472"/>
      <c r="AQ40" s="472"/>
      <c r="AR40" s="472"/>
      <c r="AS40" s="543"/>
      <c r="AT40" s="473"/>
      <c r="AU40" s="472"/>
      <c r="AW40" s="474">
        <v>105</v>
      </c>
      <c r="AX40" s="544">
        <f t="shared" si="2"/>
        <v>-105</v>
      </c>
    </row>
    <row r="41" spans="1:50" s="474" customFormat="1" ht="40.049999999999997" customHeight="1" x14ac:dyDescent="0.3">
      <c r="A41" s="508"/>
      <c r="B41" s="320"/>
      <c r="C41" s="509"/>
      <c r="D41" s="320"/>
      <c r="E41" s="331"/>
      <c r="F41" s="320"/>
      <c r="G41" s="488"/>
      <c r="H41" s="320"/>
      <c r="I41" s="322"/>
      <c r="J41" s="322"/>
      <c r="K41" s="322"/>
      <c r="L41" s="331"/>
      <c r="M41" s="322"/>
      <c r="N41" s="322"/>
      <c r="O41" s="320"/>
      <c r="P41" s="510"/>
      <c r="Q41" s="510"/>
      <c r="R41" s="510"/>
      <c r="S41" s="510"/>
      <c r="T41" s="510"/>
      <c r="U41" s="510"/>
      <c r="V41" s="510"/>
      <c r="W41" s="510"/>
      <c r="X41" s="510"/>
      <c r="Y41" s="510"/>
      <c r="Z41" s="511"/>
      <c r="AA41" s="510"/>
      <c r="AB41" s="512"/>
      <c r="AC41" s="510"/>
      <c r="AD41" s="510"/>
      <c r="AE41" s="510"/>
      <c r="AF41" s="510"/>
      <c r="AG41" s="510"/>
      <c r="AH41" s="510"/>
      <c r="AI41" s="510"/>
      <c r="AJ41" s="470"/>
      <c r="AK41" s="470"/>
      <c r="AL41" s="469"/>
      <c r="AM41" s="470"/>
      <c r="AN41" s="472"/>
      <c r="AO41" s="472"/>
      <c r="AP41" s="472"/>
      <c r="AQ41" s="472"/>
      <c r="AR41" s="472"/>
      <c r="AS41" s="543"/>
      <c r="AT41" s="473"/>
      <c r="AU41" s="472"/>
      <c r="AW41" s="474">
        <v>143</v>
      </c>
      <c r="AX41" s="544">
        <f t="shared" si="2"/>
        <v>-143</v>
      </c>
    </row>
    <row r="42" spans="1:50" s="474" customFormat="1" ht="40.049999999999997" customHeight="1" x14ac:dyDescent="0.3">
      <c r="A42" s="508"/>
      <c r="B42" s="320"/>
      <c r="C42" s="509"/>
      <c r="D42" s="320"/>
      <c r="E42" s="331"/>
      <c r="F42" s="320"/>
      <c r="G42" s="488"/>
      <c r="H42" s="320"/>
      <c r="I42" s="322"/>
      <c r="J42" s="322"/>
      <c r="K42" s="322"/>
      <c r="L42" s="331"/>
      <c r="M42" s="322"/>
      <c r="N42" s="322"/>
      <c r="O42" s="320"/>
      <c r="P42" s="510"/>
      <c r="Q42" s="510"/>
      <c r="R42" s="510"/>
      <c r="S42" s="510"/>
      <c r="T42" s="510"/>
      <c r="U42" s="510"/>
      <c r="V42" s="510"/>
      <c r="W42" s="510"/>
      <c r="X42" s="510"/>
      <c r="Y42" s="510"/>
      <c r="Z42" s="511"/>
      <c r="AA42" s="510"/>
      <c r="AB42" s="512"/>
      <c r="AC42" s="510"/>
      <c r="AD42" s="510"/>
      <c r="AE42" s="510"/>
      <c r="AF42" s="510"/>
      <c r="AG42" s="510"/>
      <c r="AH42" s="510"/>
      <c r="AI42" s="510"/>
      <c r="AJ42" s="470"/>
      <c r="AK42" s="470"/>
      <c r="AL42" s="469"/>
      <c r="AM42" s="470"/>
      <c r="AN42" s="472"/>
      <c r="AO42" s="472"/>
      <c r="AP42" s="472"/>
      <c r="AQ42" s="472"/>
      <c r="AR42" s="472"/>
      <c r="AS42" s="543"/>
      <c r="AT42" s="473"/>
      <c r="AU42" s="472"/>
      <c r="AW42" s="474">
        <v>184</v>
      </c>
      <c r="AX42" s="544">
        <f t="shared" si="2"/>
        <v>-184</v>
      </c>
    </row>
    <row r="43" spans="1:50" s="474" customFormat="1" ht="40.049999999999997" customHeight="1" x14ac:dyDescent="0.3">
      <c r="A43" s="508"/>
      <c r="B43" s="320"/>
      <c r="C43" s="509"/>
      <c r="D43" s="320"/>
      <c r="E43" s="331"/>
      <c r="F43" s="320"/>
      <c r="G43" s="488"/>
      <c r="H43" s="320"/>
      <c r="I43" s="322"/>
      <c r="J43" s="322"/>
      <c r="K43" s="322"/>
      <c r="L43" s="331"/>
      <c r="M43" s="322"/>
      <c r="N43" s="322"/>
      <c r="O43" s="320"/>
      <c r="P43" s="510"/>
      <c r="Q43" s="510"/>
      <c r="R43" s="510"/>
      <c r="S43" s="510"/>
      <c r="T43" s="510"/>
      <c r="U43" s="510"/>
      <c r="V43" s="510"/>
      <c r="W43" s="510"/>
      <c r="X43" s="510"/>
      <c r="Y43" s="510"/>
      <c r="Z43" s="511"/>
      <c r="AA43" s="510"/>
      <c r="AB43" s="512"/>
      <c r="AC43" s="510"/>
      <c r="AD43" s="510"/>
      <c r="AE43" s="510"/>
      <c r="AF43" s="510"/>
      <c r="AG43" s="510"/>
      <c r="AH43" s="510"/>
      <c r="AI43" s="510"/>
      <c r="AJ43" s="470"/>
      <c r="AK43" s="470"/>
      <c r="AL43" s="469"/>
      <c r="AM43" s="470"/>
      <c r="AN43" s="472"/>
      <c r="AO43" s="472"/>
      <c r="AP43" s="472"/>
      <c r="AQ43" s="472"/>
      <c r="AR43" s="472"/>
      <c r="AS43" s="543"/>
      <c r="AT43" s="473"/>
      <c r="AU43" s="472"/>
    </row>
    <row r="44" spans="1:50" s="474" customFormat="1" ht="40.049999999999997" customHeight="1" x14ac:dyDescent="0.3">
      <c r="A44" s="508"/>
      <c r="B44" s="320"/>
      <c r="C44" s="509"/>
      <c r="D44" s="320"/>
      <c r="E44" s="331"/>
      <c r="F44" s="320"/>
      <c r="G44" s="488"/>
      <c r="H44" s="320"/>
      <c r="I44" s="322"/>
      <c r="J44" s="322"/>
      <c r="K44" s="322"/>
      <c r="L44" s="331"/>
      <c r="M44" s="322"/>
      <c r="N44" s="322"/>
      <c r="O44" s="320"/>
      <c r="P44" s="510"/>
      <c r="Q44" s="510"/>
      <c r="R44" s="510"/>
      <c r="S44" s="510"/>
      <c r="T44" s="510"/>
      <c r="U44" s="510"/>
      <c r="V44" s="510"/>
      <c r="W44" s="510"/>
      <c r="X44" s="510"/>
      <c r="Y44" s="510"/>
      <c r="Z44" s="511"/>
      <c r="AA44" s="510"/>
      <c r="AB44" s="512"/>
      <c r="AC44" s="510"/>
      <c r="AD44" s="510"/>
      <c r="AE44" s="510"/>
      <c r="AF44" s="510"/>
      <c r="AG44" s="510"/>
      <c r="AH44" s="510"/>
      <c r="AI44" s="510"/>
      <c r="AJ44" s="470"/>
      <c r="AK44" s="470"/>
      <c r="AL44" s="469"/>
      <c r="AM44" s="470"/>
      <c r="AN44" s="472"/>
      <c r="AO44" s="472"/>
      <c r="AP44" s="472"/>
      <c r="AQ44" s="472"/>
      <c r="AR44" s="472"/>
      <c r="AS44" s="543"/>
      <c r="AT44" s="473"/>
      <c r="AU44" s="472"/>
    </row>
    <row r="45" spans="1:50" s="474" customFormat="1" ht="40.049999999999997" customHeight="1" x14ac:dyDescent="0.3">
      <c r="A45" s="508"/>
      <c r="B45" s="320"/>
      <c r="C45" s="509"/>
      <c r="D45" s="320"/>
      <c r="E45" s="331"/>
      <c r="F45" s="320"/>
      <c r="G45" s="488"/>
      <c r="H45" s="320"/>
      <c r="I45" s="322"/>
      <c r="J45" s="322"/>
      <c r="K45" s="322"/>
      <c r="L45" s="331"/>
      <c r="M45" s="322"/>
      <c r="N45" s="322"/>
      <c r="O45" s="320"/>
      <c r="P45" s="510"/>
      <c r="Q45" s="510"/>
      <c r="R45" s="510"/>
      <c r="S45" s="510"/>
      <c r="T45" s="510"/>
      <c r="U45" s="510"/>
      <c r="V45" s="510"/>
      <c r="W45" s="510"/>
      <c r="X45" s="510"/>
      <c r="Y45" s="510"/>
      <c r="Z45" s="511"/>
      <c r="AA45" s="510"/>
      <c r="AB45" s="512"/>
      <c r="AC45" s="510"/>
      <c r="AD45" s="510"/>
      <c r="AE45" s="510"/>
      <c r="AF45" s="510"/>
      <c r="AG45" s="510"/>
      <c r="AH45" s="510"/>
      <c r="AI45" s="510"/>
      <c r="AJ45" s="470"/>
      <c r="AK45" s="470"/>
      <c r="AL45" s="469"/>
      <c r="AM45" s="470"/>
      <c r="AN45" s="472"/>
      <c r="AO45" s="472"/>
      <c r="AP45" s="472"/>
      <c r="AQ45" s="472"/>
      <c r="AR45" s="472"/>
      <c r="AS45" s="543"/>
      <c r="AT45" s="473"/>
      <c r="AU45" s="472"/>
    </row>
    <row r="46" spans="1:50" s="474" customFormat="1" ht="40.049999999999997" customHeight="1" x14ac:dyDescent="0.3">
      <c r="A46" s="508"/>
      <c r="B46" s="320"/>
      <c r="C46" s="509"/>
      <c r="D46" s="320"/>
      <c r="E46" s="331"/>
      <c r="F46" s="320"/>
      <c r="G46" s="488"/>
      <c r="H46" s="320"/>
      <c r="I46" s="322"/>
      <c r="J46" s="322"/>
      <c r="K46" s="322"/>
      <c r="L46" s="331"/>
      <c r="M46" s="322"/>
      <c r="N46" s="322"/>
      <c r="O46" s="320"/>
      <c r="P46" s="510"/>
      <c r="Q46" s="510"/>
      <c r="R46" s="510"/>
      <c r="S46" s="510"/>
      <c r="T46" s="510"/>
      <c r="U46" s="510"/>
      <c r="V46" s="510"/>
      <c r="W46" s="510"/>
      <c r="X46" s="510"/>
      <c r="Y46" s="510"/>
      <c r="Z46" s="511"/>
      <c r="AA46" s="510"/>
      <c r="AB46" s="512"/>
      <c r="AC46" s="510"/>
      <c r="AD46" s="510"/>
      <c r="AE46" s="510"/>
      <c r="AF46" s="510"/>
      <c r="AG46" s="510"/>
      <c r="AH46" s="510"/>
      <c r="AI46" s="510"/>
      <c r="AJ46" s="470"/>
      <c r="AK46" s="470"/>
      <c r="AL46" s="469"/>
      <c r="AM46" s="470"/>
      <c r="AN46" s="472"/>
      <c r="AO46" s="472"/>
      <c r="AP46" s="472"/>
      <c r="AQ46" s="472"/>
      <c r="AR46" s="472"/>
      <c r="AS46" s="543"/>
      <c r="AT46" s="473"/>
      <c r="AU46" s="472"/>
    </row>
    <row r="47" spans="1:50" s="474" customFormat="1" ht="40.049999999999997" customHeight="1" x14ac:dyDescent="0.3">
      <c r="A47" s="508"/>
      <c r="B47" s="320"/>
      <c r="C47" s="509"/>
      <c r="D47" s="320"/>
      <c r="E47" s="331"/>
      <c r="F47" s="320"/>
      <c r="G47" s="488"/>
      <c r="H47" s="320"/>
      <c r="I47" s="322"/>
      <c r="J47" s="322"/>
      <c r="K47" s="322"/>
      <c r="L47" s="331"/>
      <c r="M47" s="322"/>
      <c r="N47" s="322"/>
      <c r="O47" s="320"/>
      <c r="P47" s="510"/>
      <c r="Q47" s="510"/>
      <c r="R47" s="510"/>
      <c r="S47" s="510"/>
      <c r="T47" s="510"/>
      <c r="U47" s="510"/>
      <c r="V47" s="510"/>
      <c r="W47" s="510"/>
      <c r="X47" s="510"/>
      <c r="Y47" s="510"/>
      <c r="Z47" s="511"/>
      <c r="AA47" s="510"/>
      <c r="AB47" s="512"/>
      <c r="AC47" s="510"/>
      <c r="AD47" s="510"/>
      <c r="AE47" s="510"/>
      <c r="AF47" s="510"/>
      <c r="AG47" s="510"/>
      <c r="AH47" s="510"/>
      <c r="AI47" s="510"/>
      <c r="AJ47" s="470"/>
      <c r="AK47" s="470"/>
      <c r="AL47" s="469"/>
      <c r="AM47" s="470"/>
      <c r="AN47" s="472"/>
      <c r="AO47" s="472"/>
      <c r="AP47" s="472"/>
      <c r="AQ47" s="472"/>
      <c r="AR47" s="472"/>
      <c r="AS47" s="543"/>
      <c r="AT47" s="473"/>
      <c r="AU47" s="472"/>
    </row>
    <row r="48" spans="1:50" s="474" customFormat="1" ht="40.049999999999997" customHeight="1" x14ac:dyDescent="0.3">
      <c r="A48" s="508"/>
      <c r="B48" s="320"/>
      <c r="C48" s="509"/>
      <c r="D48" s="320"/>
      <c r="E48" s="331"/>
      <c r="F48" s="320"/>
      <c r="G48" s="488"/>
      <c r="H48" s="320"/>
      <c r="I48" s="322"/>
      <c r="J48" s="322"/>
      <c r="K48" s="322"/>
      <c r="L48" s="331"/>
      <c r="M48" s="322"/>
      <c r="N48" s="322"/>
      <c r="O48" s="320"/>
      <c r="P48" s="510"/>
      <c r="Q48" s="510"/>
      <c r="R48" s="510"/>
      <c r="S48" s="510"/>
      <c r="T48" s="510"/>
      <c r="U48" s="510"/>
      <c r="V48" s="510"/>
      <c r="W48" s="510"/>
      <c r="X48" s="510"/>
      <c r="Y48" s="510"/>
      <c r="Z48" s="511"/>
      <c r="AA48" s="510"/>
      <c r="AB48" s="512"/>
      <c r="AC48" s="510"/>
      <c r="AD48" s="510"/>
      <c r="AE48" s="510"/>
      <c r="AF48" s="510"/>
      <c r="AG48" s="510"/>
      <c r="AH48" s="510"/>
      <c r="AI48" s="510"/>
      <c r="AJ48" s="470"/>
      <c r="AK48" s="470"/>
      <c r="AL48" s="469"/>
      <c r="AM48" s="470"/>
      <c r="AN48" s="472"/>
      <c r="AO48" s="472"/>
      <c r="AP48" s="472"/>
      <c r="AQ48" s="472"/>
      <c r="AR48" s="472"/>
      <c r="AS48" s="543"/>
      <c r="AT48" s="473"/>
      <c r="AU48" s="472"/>
    </row>
    <row r="49" spans="1:47" s="474" customFormat="1" ht="40.049999999999997" customHeight="1" x14ac:dyDescent="0.3">
      <c r="A49" s="508"/>
      <c r="B49" s="320"/>
      <c r="C49" s="509"/>
      <c r="D49" s="320"/>
      <c r="E49" s="331"/>
      <c r="F49" s="320"/>
      <c r="G49" s="488"/>
      <c r="H49" s="320"/>
      <c r="I49" s="322"/>
      <c r="J49" s="322"/>
      <c r="K49" s="322"/>
      <c r="L49" s="331"/>
      <c r="M49" s="322"/>
      <c r="N49" s="322"/>
      <c r="O49" s="320"/>
      <c r="P49" s="510"/>
      <c r="Q49" s="510"/>
      <c r="R49" s="510"/>
      <c r="S49" s="510"/>
      <c r="T49" s="510"/>
      <c r="U49" s="510"/>
      <c r="V49" s="510"/>
      <c r="W49" s="510"/>
      <c r="X49" s="510"/>
      <c r="Y49" s="510"/>
      <c r="Z49" s="511"/>
      <c r="AA49" s="510"/>
      <c r="AB49" s="512"/>
      <c r="AC49" s="510"/>
      <c r="AD49" s="510"/>
      <c r="AE49" s="510"/>
      <c r="AF49" s="510"/>
      <c r="AG49" s="510"/>
      <c r="AH49" s="510"/>
      <c r="AI49" s="510"/>
      <c r="AJ49" s="470"/>
      <c r="AK49" s="470"/>
      <c r="AL49" s="469"/>
      <c r="AM49" s="470"/>
      <c r="AN49" s="472"/>
      <c r="AO49" s="472"/>
      <c r="AP49" s="472"/>
      <c r="AQ49" s="472"/>
      <c r="AR49" s="472"/>
      <c r="AS49" s="543"/>
      <c r="AT49" s="473"/>
      <c r="AU49" s="472"/>
    </row>
    <row r="50" spans="1:47" s="474" customFormat="1" ht="40.049999999999997" customHeight="1" x14ac:dyDescent="0.3">
      <c r="A50" s="508"/>
      <c r="B50" s="320"/>
      <c r="C50" s="513"/>
      <c r="D50" s="320"/>
      <c r="E50" s="331"/>
      <c r="F50" s="320"/>
      <c r="G50" s="488"/>
      <c r="H50" s="320"/>
      <c r="I50" s="322"/>
      <c r="J50" s="322"/>
      <c r="K50" s="322"/>
      <c r="L50" s="331"/>
      <c r="M50" s="322"/>
      <c r="N50" s="322"/>
      <c r="O50" s="320"/>
      <c r="P50" s="510"/>
      <c r="Q50" s="510"/>
      <c r="R50" s="510"/>
      <c r="S50" s="510"/>
      <c r="T50" s="510"/>
      <c r="U50" s="510"/>
      <c r="V50" s="510"/>
      <c r="W50" s="510"/>
      <c r="X50" s="510"/>
      <c r="Y50" s="510"/>
      <c r="Z50" s="511"/>
      <c r="AA50" s="510"/>
      <c r="AB50" s="512"/>
      <c r="AC50" s="510"/>
      <c r="AD50" s="510"/>
      <c r="AE50" s="510"/>
      <c r="AF50" s="510"/>
      <c r="AG50" s="510"/>
      <c r="AH50" s="510"/>
      <c r="AI50" s="510"/>
      <c r="AJ50" s="470"/>
      <c r="AK50" s="470"/>
      <c r="AL50" s="469"/>
      <c r="AM50" s="470"/>
      <c r="AN50" s="472"/>
      <c r="AO50" s="472"/>
      <c r="AP50" s="472"/>
      <c r="AQ50" s="472"/>
      <c r="AR50" s="472"/>
      <c r="AS50" s="543"/>
      <c r="AT50" s="473"/>
      <c r="AU50" s="472"/>
    </row>
    <row r="51" spans="1:47" s="474" customFormat="1" ht="40.049999999999997" hidden="1" customHeight="1" x14ac:dyDescent="0.3">
      <c r="A51" s="508"/>
      <c r="B51" s="320"/>
      <c r="C51" s="509"/>
      <c r="D51" s="320"/>
      <c r="E51" s="331"/>
      <c r="F51" s="320"/>
      <c r="G51" s="488"/>
      <c r="H51" s="320"/>
      <c r="I51" s="322"/>
      <c r="J51" s="322"/>
      <c r="K51" s="322"/>
      <c r="L51" s="331"/>
      <c r="M51" s="322"/>
      <c r="N51" s="322"/>
      <c r="O51" s="320"/>
      <c r="P51" s="510"/>
      <c r="Q51" s="510"/>
      <c r="R51" s="510"/>
      <c r="S51" s="510"/>
      <c r="T51" s="510"/>
      <c r="U51" s="510"/>
      <c r="V51" s="510"/>
      <c r="W51" s="510"/>
      <c r="X51" s="510"/>
      <c r="Y51" s="510"/>
      <c r="Z51" s="511"/>
      <c r="AA51" s="510"/>
      <c r="AB51" s="512"/>
      <c r="AC51" s="510"/>
      <c r="AD51" s="510"/>
      <c r="AE51" s="510"/>
      <c r="AF51" s="510"/>
      <c r="AG51" s="510"/>
      <c r="AH51" s="510"/>
      <c r="AI51" s="510"/>
      <c r="AJ51" s="470"/>
      <c r="AK51" s="470"/>
      <c r="AL51" s="469"/>
      <c r="AM51" s="470"/>
      <c r="AN51" s="472"/>
      <c r="AO51" s="472"/>
      <c r="AP51" s="472"/>
      <c r="AQ51" s="472"/>
      <c r="AR51" s="472"/>
      <c r="AS51" s="543"/>
      <c r="AT51" s="473"/>
      <c r="AU51" s="472"/>
    </row>
    <row r="52" spans="1:47" s="474" customFormat="1" ht="40.049999999999997" hidden="1" customHeight="1" x14ac:dyDescent="0.3">
      <c r="A52" s="508"/>
      <c r="B52" s="320"/>
      <c r="C52" s="509"/>
      <c r="D52" s="320"/>
      <c r="E52" s="331"/>
      <c r="F52" s="320"/>
      <c r="G52" s="488"/>
      <c r="H52" s="320"/>
      <c r="I52" s="322"/>
      <c r="J52" s="322"/>
      <c r="K52" s="322"/>
      <c r="L52" s="331"/>
      <c r="M52" s="322"/>
      <c r="N52" s="322"/>
      <c r="O52" s="320"/>
      <c r="P52" s="510"/>
      <c r="Q52" s="510"/>
      <c r="R52" s="510"/>
      <c r="S52" s="510"/>
      <c r="T52" s="510"/>
      <c r="U52" s="510"/>
      <c r="V52" s="510"/>
      <c r="W52" s="510"/>
      <c r="X52" s="510"/>
      <c r="Y52" s="510"/>
      <c r="Z52" s="511"/>
      <c r="AA52" s="510"/>
      <c r="AB52" s="512"/>
      <c r="AC52" s="510"/>
      <c r="AD52" s="510"/>
      <c r="AE52" s="510"/>
      <c r="AF52" s="510"/>
      <c r="AG52" s="510"/>
      <c r="AH52" s="510"/>
      <c r="AI52" s="510"/>
      <c r="AJ52" s="470"/>
      <c r="AK52" s="470"/>
      <c r="AL52" s="469"/>
      <c r="AM52" s="470"/>
      <c r="AN52" s="472"/>
      <c r="AO52" s="472"/>
      <c r="AP52" s="472"/>
      <c r="AQ52" s="472"/>
      <c r="AR52" s="472"/>
      <c r="AS52" s="543"/>
      <c r="AT52" s="473"/>
      <c r="AU52" s="472"/>
    </row>
    <row r="53" spans="1:47" s="474" customFormat="1" ht="40.049999999999997" hidden="1" customHeight="1" x14ac:dyDescent="0.3">
      <c r="A53" s="508"/>
      <c r="B53" s="320"/>
      <c r="C53" s="513"/>
      <c r="D53" s="320"/>
      <c r="E53" s="331"/>
      <c r="F53" s="320"/>
      <c r="G53" s="488"/>
      <c r="H53" s="320"/>
      <c r="I53" s="322"/>
      <c r="J53" s="322"/>
      <c r="K53" s="322"/>
      <c r="L53" s="331"/>
      <c r="M53" s="322"/>
      <c r="N53" s="322"/>
      <c r="O53" s="320"/>
      <c r="P53" s="510"/>
      <c r="Q53" s="510"/>
      <c r="R53" s="510"/>
      <c r="S53" s="510"/>
      <c r="T53" s="510"/>
      <c r="U53" s="510"/>
      <c r="V53" s="510"/>
      <c r="W53" s="510"/>
      <c r="X53" s="510"/>
      <c r="Y53" s="510"/>
      <c r="Z53" s="511"/>
      <c r="AA53" s="510"/>
      <c r="AB53" s="512"/>
      <c r="AC53" s="510"/>
      <c r="AD53" s="510"/>
      <c r="AE53" s="510"/>
      <c r="AF53" s="510"/>
      <c r="AG53" s="510"/>
      <c r="AH53" s="510"/>
      <c r="AI53" s="510"/>
      <c r="AJ53" s="470"/>
      <c r="AK53" s="470"/>
      <c r="AL53" s="469"/>
      <c r="AM53" s="470"/>
      <c r="AN53" s="472"/>
      <c r="AO53" s="472"/>
      <c r="AP53" s="472"/>
      <c r="AQ53" s="472"/>
      <c r="AR53" s="472"/>
      <c r="AS53" s="543"/>
      <c r="AT53" s="473"/>
      <c r="AU53" s="472"/>
    </row>
    <row r="54" spans="1:47" s="474" customFormat="1" ht="40.049999999999997" hidden="1" customHeight="1" x14ac:dyDescent="0.3">
      <c r="A54" s="508"/>
      <c r="B54" s="320"/>
      <c r="C54" s="509"/>
      <c r="D54" s="320"/>
      <c r="E54" s="331"/>
      <c r="F54" s="320"/>
      <c r="G54" s="488"/>
      <c r="H54" s="320"/>
      <c r="I54" s="322"/>
      <c r="J54" s="322"/>
      <c r="K54" s="322"/>
      <c r="L54" s="331"/>
      <c r="M54" s="322"/>
      <c r="N54" s="322"/>
      <c r="O54" s="320"/>
      <c r="P54" s="510"/>
      <c r="Q54" s="510"/>
      <c r="R54" s="510"/>
      <c r="S54" s="510"/>
      <c r="T54" s="510"/>
      <c r="U54" s="510"/>
      <c r="V54" s="510"/>
      <c r="W54" s="510"/>
      <c r="X54" s="510"/>
      <c r="Y54" s="510"/>
      <c r="Z54" s="511"/>
      <c r="AA54" s="510"/>
      <c r="AB54" s="512"/>
      <c r="AC54" s="510"/>
      <c r="AD54" s="510"/>
      <c r="AE54" s="510"/>
      <c r="AF54" s="510"/>
      <c r="AG54" s="510"/>
      <c r="AH54" s="510"/>
      <c r="AI54" s="510"/>
      <c r="AJ54" s="470"/>
      <c r="AK54" s="470"/>
      <c r="AL54" s="469"/>
      <c r="AM54" s="470"/>
      <c r="AN54" s="472"/>
      <c r="AO54" s="472"/>
      <c r="AP54" s="472"/>
      <c r="AQ54" s="472"/>
      <c r="AR54" s="472"/>
      <c r="AS54" s="543"/>
      <c r="AT54" s="473"/>
      <c r="AU54" s="472"/>
    </row>
    <row r="55" spans="1:47" s="474" customFormat="1" ht="40.049999999999997" hidden="1" customHeight="1" x14ac:dyDescent="0.3">
      <c r="A55" s="508"/>
      <c r="B55" s="320"/>
      <c r="C55" s="513"/>
      <c r="D55" s="320"/>
      <c r="E55" s="331"/>
      <c r="F55" s="320"/>
      <c r="G55" s="488"/>
      <c r="H55" s="320"/>
      <c r="I55" s="322"/>
      <c r="J55" s="322"/>
      <c r="K55" s="322"/>
      <c r="L55" s="331"/>
      <c r="M55" s="322"/>
      <c r="N55" s="322"/>
      <c r="O55" s="320"/>
      <c r="P55" s="510"/>
      <c r="Q55" s="510"/>
      <c r="R55" s="510"/>
      <c r="S55" s="510"/>
      <c r="T55" s="510"/>
      <c r="U55" s="510"/>
      <c r="V55" s="510"/>
      <c r="W55" s="510"/>
      <c r="X55" s="510"/>
      <c r="Y55" s="510"/>
      <c r="Z55" s="511"/>
      <c r="AA55" s="510"/>
      <c r="AB55" s="512"/>
      <c r="AC55" s="510"/>
      <c r="AD55" s="510"/>
      <c r="AE55" s="510"/>
      <c r="AF55" s="510"/>
      <c r="AG55" s="510"/>
      <c r="AH55" s="510"/>
      <c r="AI55" s="510"/>
      <c r="AJ55" s="470"/>
      <c r="AK55" s="470"/>
      <c r="AL55" s="469"/>
      <c r="AM55" s="470"/>
      <c r="AN55" s="472"/>
      <c r="AO55" s="472"/>
      <c r="AP55" s="472"/>
      <c r="AQ55" s="472"/>
      <c r="AR55" s="472"/>
      <c r="AS55" s="543"/>
      <c r="AT55" s="473"/>
      <c r="AU55" s="472"/>
    </row>
    <row r="56" spans="1:47" s="474" customFormat="1" ht="40.049999999999997" hidden="1" customHeight="1" x14ac:dyDescent="0.3">
      <c r="A56" s="487"/>
      <c r="B56" s="517"/>
      <c r="C56" s="518"/>
      <c r="D56" s="519"/>
      <c r="E56" s="520"/>
      <c r="F56" s="517"/>
      <c r="G56" s="490"/>
      <c r="H56" s="517"/>
      <c r="I56" s="521"/>
      <c r="J56" s="521"/>
      <c r="K56" s="521"/>
      <c r="L56" s="520"/>
      <c r="M56" s="521"/>
      <c r="N56" s="521"/>
      <c r="O56" s="517"/>
      <c r="P56" s="522"/>
      <c r="Q56" s="523"/>
      <c r="R56" s="523"/>
      <c r="S56" s="523"/>
      <c r="T56" s="522"/>
      <c r="U56" s="522"/>
      <c r="V56" s="523"/>
      <c r="W56" s="523"/>
      <c r="X56" s="523"/>
      <c r="Y56" s="523"/>
      <c r="Z56" s="524"/>
      <c r="AA56" s="523"/>
      <c r="AB56" s="525"/>
      <c r="AC56" s="523"/>
      <c r="AD56" s="523"/>
      <c r="AE56" s="523"/>
      <c r="AF56" s="523"/>
      <c r="AG56" s="523"/>
      <c r="AH56" s="523"/>
      <c r="AI56" s="523"/>
      <c r="AJ56" s="477"/>
      <c r="AK56" s="477"/>
      <c r="AL56" s="478"/>
      <c r="AM56" s="477"/>
      <c r="AN56" s="479"/>
      <c r="AO56" s="479"/>
      <c r="AP56" s="479"/>
      <c r="AQ56" s="479"/>
      <c r="AR56" s="479"/>
      <c r="AS56" s="480"/>
      <c r="AT56" s="481"/>
      <c r="AU56" s="480"/>
    </row>
    <row r="57" spans="1:47" s="474" customFormat="1" ht="40.049999999999997" customHeight="1" thickBot="1" x14ac:dyDescent="0.35">
      <c r="A57" s="526"/>
      <c r="B57" s="337"/>
      <c r="C57" s="337"/>
      <c r="D57" s="337"/>
      <c r="E57" s="337"/>
      <c r="F57" s="526"/>
      <c r="G57" s="527"/>
      <c r="H57" s="526"/>
      <c r="I57" s="526"/>
      <c r="J57" s="526"/>
      <c r="K57" s="526"/>
      <c r="L57" s="517"/>
      <c r="M57" s="526"/>
      <c r="N57" s="526"/>
      <c r="O57" s="528"/>
      <c r="P57" s="529">
        <f t="shared" ref="P57:V57" si="3">SUBTOTAL(9,P8:P56)</f>
        <v>250000</v>
      </c>
      <c r="Q57" s="529">
        <f t="shared" si="3"/>
        <v>156250</v>
      </c>
      <c r="R57" s="529">
        <f t="shared" si="3"/>
        <v>62500</v>
      </c>
      <c r="S57" s="529">
        <f t="shared" si="3"/>
        <v>15625</v>
      </c>
      <c r="T57" s="529">
        <f t="shared" si="3"/>
        <v>15625</v>
      </c>
      <c r="U57" s="529">
        <f t="shared" si="3"/>
        <v>250000</v>
      </c>
      <c r="V57" s="529">
        <f t="shared" si="3"/>
        <v>0</v>
      </c>
      <c r="W57" s="530"/>
      <c r="X57" s="529">
        <f>SUBTOTAL(9,X8:X56)</f>
        <v>0</v>
      </c>
      <c r="Y57" s="530"/>
      <c r="Z57" s="529">
        <f>SUBTOTAL(9,Z8:Z56)</f>
        <v>37131.57894736842</v>
      </c>
      <c r="AA57" s="531"/>
      <c r="AB57" s="532"/>
      <c r="AC57" s="529">
        <f t="shared" ref="AC57:AI57" si="4">SUBTOTAL(9,AC8:AC56)</f>
        <v>2192.9824561403511</v>
      </c>
      <c r="AD57" s="529">
        <f t="shared" si="4"/>
        <v>210675.43859649124</v>
      </c>
      <c r="AE57" s="529">
        <f t="shared" si="4"/>
        <v>0</v>
      </c>
      <c r="AF57" s="529">
        <f t="shared" si="4"/>
        <v>0</v>
      </c>
      <c r="AG57" s="529">
        <f t="shared" si="4"/>
        <v>7000</v>
      </c>
      <c r="AH57" s="529">
        <f t="shared" si="4"/>
        <v>5000</v>
      </c>
      <c r="AI57" s="529">
        <f t="shared" si="4"/>
        <v>198675.43859649124</v>
      </c>
      <c r="AJ57" s="484"/>
      <c r="AK57" s="482"/>
      <c r="AL57" s="485"/>
      <c r="AM57" s="482"/>
      <c r="AN57" s="483">
        <f t="shared" ref="AN57:AT57" si="5">SUBTOTAL(9,AN8:AN56)</f>
        <v>41000</v>
      </c>
      <c r="AO57" s="483">
        <f t="shared" si="5"/>
        <v>0</v>
      </c>
      <c r="AP57" s="483">
        <f t="shared" si="5"/>
        <v>0</v>
      </c>
      <c r="AQ57" s="483">
        <f t="shared" si="5"/>
        <v>75000</v>
      </c>
      <c r="AR57" s="483">
        <f t="shared" si="5"/>
        <v>66447.368421052641</v>
      </c>
      <c r="AS57" s="483">
        <f t="shared" si="5"/>
        <v>182447.36842105264</v>
      </c>
      <c r="AT57" s="483">
        <f t="shared" si="5"/>
        <v>16228.070175438595</v>
      </c>
      <c r="AU57" s="483">
        <f>SUBTOTAL(9,AU8:AU56)</f>
        <v>198675.43859649124</v>
      </c>
    </row>
    <row r="58" spans="1:47" s="44" customFormat="1" ht="13.8" thickTop="1" x14ac:dyDescent="0.3">
      <c r="A58" s="48"/>
      <c r="B58" s="47"/>
      <c r="C58" s="47"/>
      <c r="D58" s="47"/>
      <c r="E58" s="47"/>
      <c r="F58" s="48"/>
      <c r="G58" s="486"/>
      <c r="H58" s="48"/>
      <c r="I58" s="48"/>
      <c r="J58" s="48"/>
      <c r="K58" s="48"/>
      <c r="L58" s="425"/>
      <c r="M58" s="48"/>
      <c r="N58" s="48"/>
      <c r="O58" s="130"/>
      <c r="P58" s="132"/>
      <c r="Q58" s="132"/>
      <c r="R58" s="132"/>
      <c r="S58" s="132"/>
      <c r="T58" s="132"/>
      <c r="U58" s="132"/>
      <c r="V58" s="49"/>
      <c r="W58" s="299"/>
      <c r="X58" s="132"/>
      <c r="Y58" s="299"/>
      <c r="Z58" s="306"/>
      <c r="AA58" s="132"/>
      <c r="AB58" s="300"/>
      <c r="AC58" s="132"/>
      <c r="AD58" s="132"/>
      <c r="AE58" s="132"/>
      <c r="AF58" s="132"/>
      <c r="AG58" s="132"/>
      <c r="AH58" s="132"/>
      <c r="AI58" s="132"/>
      <c r="AJ58" s="303"/>
      <c r="AK58" s="48"/>
      <c r="AL58" s="70"/>
      <c r="AM58" s="48"/>
      <c r="AN58" s="132"/>
      <c r="AO58" s="132"/>
      <c r="AP58" s="132"/>
      <c r="AQ58" s="132"/>
      <c r="AR58" s="132"/>
      <c r="AS58" s="132"/>
      <c r="AT58" s="132"/>
      <c r="AU58" s="132">
        <f>+AU57-AI57</f>
        <v>0</v>
      </c>
    </row>
    <row r="59" spans="1:47" ht="18" x14ac:dyDescent="0.3">
      <c r="AI59" s="541"/>
      <c r="AS59" s="541">
        <v>1429657.23</v>
      </c>
      <c r="AT59" s="540"/>
    </row>
    <row r="60" spans="1:47" ht="18" x14ac:dyDescent="0.3">
      <c r="AI60" s="541"/>
      <c r="AS60" s="541">
        <v>-3694</v>
      </c>
      <c r="AT60" s="540" t="s">
        <v>509</v>
      </c>
    </row>
    <row r="61" spans="1:47" ht="18" x14ac:dyDescent="0.3">
      <c r="AI61" s="541"/>
      <c r="AS61" s="541">
        <v>-4053</v>
      </c>
      <c r="AT61" s="540" t="s">
        <v>510</v>
      </c>
    </row>
    <row r="62" spans="1:47" ht="18" x14ac:dyDescent="0.3">
      <c r="AI62" s="541"/>
      <c r="AS62" s="541">
        <v>-157400</v>
      </c>
      <c r="AT62" s="540" t="s">
        <v>511</v>
      </c>
    </row>
    <row r="63" spans="1:47" ht="18" x14ac:dyDescent="0.3">
      <c r="AI63" s="541"/>
      <c r="AS63" s="542">
        <f>SUM(AS59:AS62)</f>
        <v>1264510.23</v>
      </c>
      <c r="AT63" s="540" t="s">
        <v>512</v>
      </c>
    </row>
    <row r="64" spans="1:47" ht="18" x14ac:dyDescent="0.3">
      <c r="AI64" s="541"/>
      <c r="AS64" s="541">
        <f>+AS63-AS57</f>
        <v>1082062.8615789474</v>
      </c>
      <c r="AT64" s="540"/>
    </row>
  </sheetData>
  <autoFilter ref="A7:AU50" xr:uid="{9F35045B-88AE-4B1A-965D-EE46DBAA4BF1}"/>
  <conditionalFormatting sqref="AK7:AK55">
    <cfRule type="duplicateValues" dxfId="15" priority="65"/>
  </conditionalFormatting>
  <conditionalFormatting sqref="AL7:AL55">
    <cfRule type="duplicateValues" dxfId="14" priority="66"/>
  </conditionalFormatting>
  <pageMargins left="0.25" right="0.25" top="0.75" bottom="0.75" header="0.3" footer="0.3"/>
  <pageSetup scale="24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937BD-B630-4858-90FB-B3C7F6D6DE82}">
  <sheetPr codeName="Sheet9">
    <tabColor theme="8" tint="0.39997558519241921"/>
    <pageSetUpPr fitToPage="1"/>
  </sheetPr>
  <dimension ref="A1:AY96"/>
  <sheetViews>
    <sheetView view="pageBreakPreview" zoomScale="60" zoomScaleNormal="70" workbookViewId="0">
      <pane xSplit="14" ySplit="5" topLeftCell="O6" activePane="bottomRight" state="frozen"/>
      <selection activeCell="V84" sqref="V84"/>
      <selection pane="topRight" activeCell="V84" sqref="V84"/>
      <selection pane="bottomLeft" activeCell="V84" sqref="V84"/>
      <selection pane="bottomRight" activeCell="AX8" sqref="AX8"/>
    </sheetView>
  </sheetViews>
  <sheetFormatPr defaultColWidth="9.109375" defaultRowHeight="28.2" customHeight="1" x14ac:dyDescent="0.3"/>
  <cols>
    <col min="1" max="1" width="1.6640625" style="339" customWidth="1"/>
    <col min="2" max="2" width="6.44140625" style="339" customWidth="1"/>
    <col min="3" max="3" width="11.6640625" style="340" bestFit="1" customWidth="1"/>
    <col min="4" max="6" width="11.6640625" style="340" customWidth="1"/>
    <col min="7" max="7" width="12.5546875" style="341" customWidth="1"/>
    <col min="8" max="8" width="7.109375" style="340" customWidth="1"/>
    <col min="9" max="9" width="27.77734375" style="339" bestFit="1" customWidth="1"/>
    <col min="10" max="10" width="14.109375" style="350" bestFit="1" customWidth="1"/>
    <col min="11" max="11" width="24" style="350" bestFit="1" customWidth="1"/>
    <col min="12" max="12" width="22.109375" style="350" bestFit="1" customWidth="1"/>
    <col min="13" max="13" width="9.44140625" style="339" bestFit="1" customWidth="1"/>
    <col min="14" max="15" width="7.33203125" style="339" customWidth="1"/>
    <col min="16" max="16" width="14.77734375" style="344" bestFit="1" customWidth="1"/>
    <col min="17" max="17" width="14.6640625" style="344" hidden="1" customWidth="1"/>
    <col min="18" max="18" width="12.88671875" style="344" hidden="1" customWidth="1"/>
    <col min="19" max="19" width="15.44140625" style="344" hidden="1" customWidth="1"/>
    <col min="20" max="20" width="12.33203125" style="344" customWidth="1"/>
    <col min="21" max="21" width="14.33203125" style="344" bestFit="1" customWidth="1"/>
    <col min="22" max="22" width="12.6640625" style="345" hidden="1" customWidth="1"/>
    <col min="23" max="24" width="12.6640625" style="344" hidden="1" customWidth="1"/>
    <col min="25" max="26" width="12.6640625" style="344" customWidth="1"/>
    <col min="27" max="27" width="9.33203125" style="344" customWidth="1"/>
    <col min="28" max="28" width="9.6640625" style="344" customWidth="1"/>
    <col min="29" max="29" width="9.33203125" style="344" customWidth="1"/>
    <col min="30" max="30" width="12.88671875" style="344" bestFit="1" customWidth="1"/>
    <col min="31" max="31" width="9.5546875" style="344" bestFit="1" customWidth="1"/>
    <col min="32" max="32" width="9.6640625" style="344" hidden="1" customWidth="1"/>
    <col min="33" max="33" width="12" style="344" bestFit="1" customWidth="1"/>
    <col min="34" max="34" width="9.6640625" style="344" hidden="1" customWidth="1"/>
    <col min="35" max="35" width="16" style="344" bestFit="1" customWidth="1"/>
    <col min="36" max="36" width="18" style="344" hidden="1" customWidth="1"/>
    <col min="37" max="37" width="33.44140625" style="344" hidden="1" customWidth="1"/>
    <col min="38" max="38" width="14.44140625" style="344" hidden="1" customWidth="1"/>
    <col min="39" max="39" width="23.33203125" style="344" hidden="1" customWidth="1"/>
    <col min="40" max="40" width="12.88671875" style="344" bestFit="1" customWidth="1"/>
    <col min="41" max="41" width="10.6640625" style="344" hidden="1" customWidth="1"/>
    <col min="42" max="42" width="11.44140625" style="344" hidden="1" customWidth="1"/>
    <col min="43" max="43" width="12.33203125" style="344" bestFit="1" customWidth="1"/>
    <col min="44" max="44" width="9.6640625" style="344" hidden="1" customWidth="1"/>
    <col min="45" max="45" width="17.88671875" style="344" bestFit="1" customWidth="1"/>
    <col min="46" max="46" width="10.6640625" style="347" bestFit="1" customWidth="1"/>
    <col min="47" max="47" width="12.44140625" style="344" bestFit="1" customWidth="1"/>
    <col min="48" max="48" width="1.6640625" style="348" customWidth="1"/>
    <col min="49" max="49" width="12.44140625" style="344" bestFit="1" customWidth="1"/>
    <col min="50" max="50" width="13.109375" style="339" bestFit="1" customWidth="1"/>
    <col min="51" max="16384" width="9.109375" style="339"/>
  </cols>
  <sheetData>
    <row r="1" spans="1:51" ht="30" customHeight="1" x14ac:dyDescent="0.3">
      <c r="A1" s="338" t="s">
        <v>153</v>
      </c>
      <c r="H1" s="339"/>
      <c r="I1" s="342"/>
      <c r="J1" s="343"/>
      <c r="K1" s="343"/>
      <c r="L1" s="343"/>
      <c r="O1" s="339" t="s">
        <v>192</v>
      </c>
      <c r="Q1" s="339" t="s">
        <v>192</v>
      </c>
      <c r="R1" s="339" t="s">
        <v>192</v>
      </c>
      <c r="S1" s="339" t="s">
        <v>192</v>
      </c>
      <c r="T1" s="339" t="s">
        <v>192</v>
      </c>
      <c r="AA1" s="339" t="s">
        <v>192</v>
      </c>
      <c r="AB1" s="339" t="s">
        <v>192</v>
      </c>
      <c r="AC1" s="339" t="s">
        <v>192</v>
      </c>
      <c r="AE1" s="346"/>
    </row>
    <row r="2" spans="1:51" ht="30" customHeight="1" x14ac:dyDescent="0.3">
      <c r="A2" s="338" t="s">
        <v>0</v>
      </c>
      <c r="C2" s="396" t="s">
        <v>576</v>
      </c>
      <c r="D2" s="349"/>
      <c r="E2" s="349"/>
      <c r="F2" s="349"/>
      <c r="G2" s="349">
        <v>2024</v>
      </c>
      <c r="I2" s="338"/>
      <c r="AF2" s="351"/>
      <c r="AG2" s="352"/>
    </row>
    <row r="3" spans="1:51" ht="30" customHeight="1" x14ac:dyDescent="0.3">
      <c r="A3" s="353"/>
      <c r="B3" s="353"/>
    </row>
    <row r="4" spans="1:51" s="357" customFormat="1" ht="28.2" customHeight="1" x14ac:dyDescent="0.3">
      <c r="A4" s="440"/>
      <c r="B4" s="440"/>
      <c r="C4" s="354"/>
      <c r="D4" s="354"/>
      <c r="E4" s="354"/>
      <c r="F4" s="354"/>
      <c r="G4" s="355">
        <v>2</v>
      </c>
      <c r="H4" s="354">
        <v>3</v>
      </c>
      <c r="I4" s="354">
        <v>4</v>
      </c>
      <c r="J4" s="354">
        <v>5</v>
      </c>
      <c r="K4" s="354">
        <v>6</v>
      </c>
      <c r="L4" s="354">
        <v>7</v>
      </c>
      <c r="M4" s="354">
        <v>8</v>
      </c>
      <c r="N4" s="354">
        <v>9</v>
      </c>
      <c r="O4" s="354">
        <v>10</v>
      </c>
      <c r="P4" s="354">
        <v>11</v>
      </c>
      <c r="Q4" s="354">
        <v>12</v>
      </c>
      <c r="R4" s="354">
        <v>13</v>
      </c>
      <c r="S4" s="354">
        <v>14</v>
      </c>
      <c r="T4" s="354">
        <v>15</v>
      </c>
      <c r="U4" s="354">
        <v>16</v>
      </c>
      <c r="V4" s="354">
        <v>17</v>
      </c>
      <c r="W4" s="354">
        <v>18</v>
      </c>
      <c r="X4" s="354">
        <v>19</v>
      </c>
      <c r="Y4" s="354">
        <v>20</v>
      </c>
      <c r="Z4" s="354">
        <v>21</v>
      </c>
      <c r="AA4" s="354">
        <v>22</v>
      </c>
      <c r="AB4" s="354">
        <v>23</v>
      </c>
      <c r="AC4" s="354">
        <v>24</v>
      </c>
      <c r="AD4" s="354">
        <v>25</v>
      </c>
      <c r="AE4" s="354">
        <v>26</v>
      </c>
      <c r="AF4" s="354">
        <v>27</v>
      </c>
      <c r="AG4" s="354">
        <v>28</v>
      </c>
      <c r="AH4" s="354">
        <v>29</v>
      </c>
      <c r="AI4" s="354">
        <v>30</v>
      </c>
      <c r="AJ4" s="354">
        <v>31</v>
      </c>
      <c r="AK4" s="354">
        <v>32</v>
      </c>
      <c r="AL4" s="354">
        <v>33</v>
      </c>
      <c r="AM4" s="354">
        <v>34</v>
      </c>
      <c r="AN4" s="354">
        <v>35</v>
      </c>
      <c r="AO4" s="354">
        <v>36</v>
      </c>
      <c r="AP4" s="354">
        <v>37</v>
      </c>
      <c r="AQ4" s="354">
        <v>38</v>
      </c>
      <c r="AR4" s="354">
        <v>39</v>
      </c>
      <c r="AS4" s="354">
        <v>40</v>
      </c>
      <c r="AT4" s="354">
        <v>41</v>
      </c>
      <c r="AU4" s="354">
        <v>42</v>
      </c>
      <c r="AV4" s="356"/>
      <c r="AW4" s="354"/>
    </row>
    <row r="5" spans="1:51" s="358" customFormat="1" ht="67.2" x14ac:dyDescent="0.3">
      <c r="B5" s="359" t="s">
        <v>1</v>
      </c>
      <c r="C5" s="359" t="s">
        <v>2</v>
      </c>
      <c r="D5" s="400" t="s">
        <v>553</v>
      </c>
      <c r="E5" s="400" t="s">
        <v>554</v>
      </c>
      <c r="F5" s="400" t="s">
        <v>555</v>
      </c>
      <c r="G5" s="359" t="s">
        <v>83</v>
      </c>
      <c r="H5" s="360" t="s">
        <v>68</v>
      </c>
      <c r="I5" s="359" t="s">
        <v>3</v>
      </c>
      <c r="J5" s="361" t="s">
        <v>4</v>
      </c>
      <c r="K5" s="361" t="s">
        <v>5</v>
      </c>
      <c r="L5" s="361" t="s">
        <v>439</v>
      </c>
      <c r="M5" s="361" t="s">
        <v>66</v>
      </c>
      <c r="N5" s="361" t="s">
        <v>58</v>
      </c>
      <c r="O5" s="359" t="s">
        <v>6</v>
      </c>
      <c r="P5" s="362" t="s">
        <v>7</v>
      </c>
      <c r="Q5" s="362" t="s">
        <v>8</v>
      </c>
      <c r="R5" s="362" t="s">
        <v>9</v>
      </c>
      <c r="S5" s="362" t="s">
        <v>10</v>
      </c>
      <c r="T5" s="362" t="s">
        <v>11</v>
      </c>
      <c r="U5" s="362" t="s">
        <v>12</v>
      </c>
      <c r="V5" s="362" t="s">
        <v>13</v>
      </c>
      <c r="W5" s="362" t="s">
        <v>14</v>
      </c>
      <c r="X5" s="362" t="s">
        <v>15</v>
      </c>
      <c r="Y5" s="362" t="s">
        <v>67</v>
      </c>
      <c r="Z5" s="362" t="s">
        <v>16</v>
      </c>
      <c r="AA5" s="362" t="s">
        <v>70</v>
      </c>
      <c r="AB5" s="362" t="s">
        <v>17</v>
      </c>
      <c r="AC5" s="362" t="s">
        <v>18</v>
      </c>
      <c r="AD5" s="363" t="s">
        <v>272</v>
      </c>
      <c r="AE5" s="362" t="s">
        <v>20</v>
      </c>
      <c r="AF5" s="362" t="s">
        <v>73</v>
      </c>
      <c r="AG5" s="362" t="s">
        <v>21</v>
      </c>
      <c r="AH5" s="362" t="s">
        <v>22</v>
      </c>
      <c r="AI5" s="363" t="s">
        <v>23</v>
      </c>
      <c r="AJ5" s="364" t="s">
        <v>24</v>
      </c>
      <c r="AK5" s="362" t="s">
        <v>25</v>
      </c>
      <c r="AL5" s="362" t="s">
        <v>109</v>
      </c>
      <c r="AM5" s="362" t="s">
        <v>111</v>
      </c>
      <c r="AN5" s="362" t="s">
        <v>112</v>
      </c>
      <c r="AO5" s="362" t="s">
        <v>113</v>
      </c>
      <c r="AP5" s="362" t="s">
        <v>92</v>
      </c>
      <c r="AQ5" s="362" t="s">
        <v>93</v>
      </c>
      <c r="AR5" s="362" t="s">
        <v>26</v>
      </c>
      <c r="AS5" s="362" t="s">
        <v>196</v>
      </c>
      <c r="AT5" s="362" t="s">
        <v>27</v>
      </c>
      <c r="AU5" s="362" t="s">
        <v>94</v>
      </c>
      <c r="AV5" s="365"/>
      <c r="AW5" s="362" t="s">
        <v>271</v>
      </c>
      <c r="AX5" s="363" t="s">
        <v>273</v>
      </c>
    </row>
    <row r="6" spans="1:51" s="313" customFormat="1" ht="36" customHeight="1" x14ac:dyDescent="0.3">
      <c r="B6" s="320"/>
      <c r="C6" s="320"/>
      <c r="D6" s="320"/>
      <c r="E6" s="320"/>
      <c r="F6" s="320"/>
      <c r="G6" s="321"/>
      <c r="H6" s="320"/>
      <c r="I6" s="322"/>
      <c r="J6" s="323"/>
      <c r="K6" s="323"/>
      <c r="L6" s="323"/>
      <c r="M6" s="322"/>
      <c r="N6" s="322"/>
      <c r="O6" s="320"/>
      <c r="P6" s="324"/>
      <c r="Q6" s="324"/>
      <c r="R6" s="324"/>
      <c r="S6" s="324"/>
      <c r="T6" s="324"/>
      <c r="U6" s="324"/>
      <c r="V6" s="324"/>
      <c r="W6" s="325"/>
      <c r="X6" s="324"/>
      <c r="Y6" s="325"/>
      <c r="Z6" s="324"/>
      <c r="AA6" s="326"/>
      <c r="AB6" s="326"/>
      <c r="AC6" s="326"/>
      <c r="AD6" s="441"/>
      <c r="AE6" s="324"/>
      <c r="AF6" s="324"/>
      <c r="AG6" s="324"/>
      <c r="AH6" s="324"/>
      <c r="AI6" s="441"/>
      <c r="AJ6" s="327"/>
      <c r="AK6" s="442"/>
      <c r="AL6" s="443"/>
      <c r="AM6" s="328"/>
      <c r="AN6" s="327"/>
      <c r="AO6" s="327"/>
      <c r="AP6" s="327"/>
      <c r="AQ6" s="327"/>
      <c r="AR6" s="327"/>
      <c r="AS6" s="441"/>
      <c r="AT6" s="329"/>
      <c r="AU6" s="327"/>
      <c r="AV6" s="327"/>
      <c r="AW6" s="327"/>
      <c r="AX6" s="444"/>
    </row>
    <row r="7" spans="1:51" s="617" customFormat="1" ht="42" customHeight="1" x14ac:dyDescent="0.3">
      <c r="B7" s="618">
        <v>1</v>
      </c>
      <c r="C7" s="618">
        <v>22</v>
      </c>
      <c r="D7" s="630">
        <f>_xlfn.XLOOKUP(C7,Master[Emp Code],Master[date of last increment])</f>
        <v>0</v>
      </c>
      <c r="E7" s="618">
        <f>_xlfn.XLOOKUP(C7,Master[Emp Code],Master[[last incremnet ]])</f>
        <v>0</v>
      </c>
      <c r="F7" s="618">
        <f>_xlfn.XLOOKUP(C7,Master[Emp Code],Master['# Months Since Last Increment])</f>
        <v>0</v>
      </c>
      <c r="G7" s="459">
        <f>VLOOKUP($C7,Master!$F:$AU,G$4,FALSE)</f>
        <v>43937</v>
      </c>
      <c r="H7" s="618">
        <f>VLOOKUP($C7,Master!$F:$AU,H$4,FALSE)</f>
        <v>0</v>
      </c>
      <c r="I7" s="620" t="str">
        <f>VLOOKUP($C7,Master!$F:$AU,I$4,FALSE)</f>
        <v>Shahmeer Shaikh</v>
      </c>
      <c r="J7" s="620" t="str">
        <f>VLOOKUP($C7,Master!$F:$AU,J$4,FALSE)</f>
        <v>Production - Design</v>
      </c>
      <c r="K7" s="621">
        <f>VLOOKUP($C7,Master!$F:$AU,K$4,FALSE)</f>
        <v>0</v>
      </c>
      <c r="L7" s="620">
        <f>VLOOKUP($C7,Master!$F:$AU,L$4,FALSE)</f>
        <v>0</v>
      </c>
      <c r="M7" s="622" t="str">
        <f>VLOOKUP($C7,Master!$F:$AU,M$4,FALSE)</f>
        <v>Portal</v>
      </c>
      <c r="N7" s="622" t="str">
        <f>VLOOKUP($C7,Master!$F:$AU,N$4,FALSE)</f>
        <v>Portal</v>
      </c>
      <c r="O7" s="618" t="str">
        <f>VLOOKUP($C7,Master!$F:$AU,O$4,FALSE)</f>
        <v>P</v>
      </c>
      <c r="P7" s="623">
        <f>VLOOKUP($C7,Master!$F:$AU,P$4,FALSE)</f>
        <v>100000</v>
      </c>
      <c r="Q7" s="623">
        <f>VLOOKUP($C7,Master!$F:$AU,Q$4,FALSE)</f>
        <v>62500</v>
      </c>
      <c r="R7" s="623">
        <f>VLOOKUP($C7,Master!$F:$AU,R$4,FALSE)</f>
        <v>25000</v>
      </c>
      <c r="S7" s="623">
        <f>VLOOKUP($C7,Master!$F:$AU,S$4,FALSE)</f>
        <v>6250</v>
      </c>
      <c r="T7" s="623">
        <f>VLOOKUP($C7,Master!$F:$AU,T$4,FALSE)</f>
        <v>6250</v>
      </c>
      <c r="U7" s="623">
        <f>VLOOKUP($C7,Master!$F:$AU,U$4,FALSE)</f>
        <v>100000</v>
      </c>
      <c r="V7" s="624">
        <f>VLOOKUP($C7,Master!$F:$AU,V$4,FALSE)</f>
        <v>0</v>
      </c>
      <c r="W7" s="623">
        <f>VLOOKUP($C7,Master!$F:$AU,W$4,FALSE)</f>
        <v>0</v>
      </c>
      <c r="X7" s="623">
        <f>VLOOKUP($C7,Master!$F:$AU,X$4,FALSE)</f>
        <v>0</v>
      </c>
      <c r="Y7" s="623">
        <f>VLOOKUP($C7,Master!$F:$AU,Y$4,FALSE)</f>
        <v>6</v>
      </c>
      <c r="Z7" s="623">
        <f>VLOOKUP($C7,Master!$F:$AU,Z$4,FALSE)</f>
        <v>28571.428571428569</v>
      </c>
      <c r="AA7" s="625">
        <f>VLOOKUP($C7,Master!$F:$AU,AA$4,FALSE)</f>
        <v>529.100529100529</v>
      </c>
      <c r="AB7" s="625">
        <f>VLOOKUP($C7,Master!$F:$AU,AB$4,FALSE)</f>
        <v>0</v>
      </c>
      <c r="AC7" s="625">
        <f>VLOOKUP($C7,Master!$F:$AU,AC$4,FALSE)</f>
        <v>0</v>
      </c>
      <c r="AD7" s="441">
        <f>VLOOKUP($C7,Master!$F:$AU,AD$4,FALSE)</f>
        <v>71428.571428571435</v>
      </c>
      <c r="AE7" s="623">
        <f>VLOOKUP($C7,Master!$F:$AU,AE$4,FALSE)</f>
        <v>0</v>
      </c>
      <c r="AF7" s="623">
        <f>VLOOKUP($C7,Master!$F:$AU,AF$4,FALSE)</f>
        <v>0</v>
      </c>
      <c r="AG7" s="623">
        <f>VLOOKUP($C7,Master!$F:$AU,AG$4,FALSE)</f>
        <v>0</v>
      </c>
      <c r="AH7" s="623">
        <f>VLOOKUP($C7,Master!$F:$AU,AH$4,FALSE)</f>
        <v>0</v>
      </c>
      <c r="AI7" s="441">
        <f>VLOOKUP($C7,Master!$F:$AU,AI$4,FALSE)</f>
        <v>71428.571428571435</v>
      </c>
      <c r="AJ7" s="623" t="str">
        <f>VLOOKUP($C7,Master!$F:$AU,AJ$4,FALSE)</f>
        <v>Habib Bank Limited</v>
      </c>
      <c r="AK7" s="627" t="str">
        <f>VLOOKUP($C7,Master!$F:$AU,AK$4,FALSE)</f>
        <v>0017-79008990-03</v>
      </c>
      <c r="AL7" s="628">
        <v>4220137461061</v>
      </c>
      <c r="AM7" s="620" t="str">
        <f>VLOOKUP($C7,Master!$F:$AU,AM$4,FALSE)</f>
        <v>Shahmeer Shaikh</v>
      </c>
      <c r="AN7" s="623">
        <f>VLOOKUP($C7,Master!$F:$AU,AN$4,FALSE)</f>
        <v>71428.571428571435</v>
      </c>
      <c r="AO7" s="623">
        <f>VLOOKUP($C7,Master!$F:$AU,AO$4,FALSE)</f>
        <v>0</v>
      </c>
      <c r="AP7" s="623">
        <f>VLOOKUP($C7,Master!$F:$AU,AP$4,FALSE)</f>
        <v>0</v>
      </c>
      <c r="AQ7" s="623">
        <f>VLOOKUP($C7,Master!$F:$AU,AQ$4,FALSE)</f>
        <v>0</v>
      </c>
      <c r="AR7" s="623">
        <f>VLOOKUP($C7,Master!$F:$AU,AR$4,FALSE)</f>
        <v>0</v>
      </c>
      <c r="AS7" s="441">
        <f>VLOOKUP($C7,Master!$F:$AU,AS$4,FALSE)</f>
        <v>71428.571428571435</v>
      </c>
      <c r="AT7" s="623">
        <f>VLOOKUP($C7,Master!$F:$AU,AT$4,FALSE)</f>
        <v>0</v>
      </c>
      <c r="AU7" s="623">
        <f>VLOOKUP($C7,Master!$F:$AU,AU$4,FALSE)</f>
        <v>71428.571428571435</v>
      </c>
      <c r="AW7" s="623">
        <f>+Master!$K$1</f>
        <v>276</v>
      </c>
      <c r="AX7" s="632">
        <f>+AD7/AW7</f>
        <v>258.79917184265014</v>
      </c>
      <c r="AY7" s="632">
        <f>+AD7/AW7</f>
        <v>258.79917184265014</v>
      </c>
    </row>
    <row r="8" spans="1:51" s="617" customFormat="1" ht="42" customHeight="1" x14ac:dyDescent="0.3">
      <c r="B8" s="618">
        <v>1</v>
      </c>
      <c r="C8" s="618">
        <v>80</v>
      </c>
      <c r="D8" s="630">
        <f>_xlfn.XLOOKUP(C8,Master[Emp Code],Master[date of last increment])</f>
        <v>0</v>
      </c>
      <c r="E8" s="618">
        <f>_xlfn.XLOOKUP(C8,Master[Emp Code],Master[[last incremnet ]])</f>
        <v>0</v>
      </c>
      <c r="F8" s="618">
        <f>_xlfn.XLOOKUP(C8,Master[Emp Code],Master['# Months Since Last Increment])</f>
        <v>0</v>
      </c>
      <c r="G8" s="459">
        <f>VLOOKUP($C8,Master!$F:$AU,G$4,FALSE)</f>
        <v>0</v>
      </c>
      <c r="H8" s="618">
        <f>VLOOKUP($C8,Master!$F:$AU,H$4,FALSE)</f>
        <v>0</v>
      </c>
      <c r="I8" s="620" t="str">
        <f>VLOOKUP($C8,Master!$F:$AU,I$4,FALSE)</f>
        <v>Ibtihaj Ali Haider</v>
      </c>
      <c r="J8" s="620" t="str">
        <f>VLOOKUP($C8,Master!$F:$AU,J$4,FALSE)</f>
        <v>Sales</v>
      </c>
      <c r="K8" s="621">
        <f>VLOOKUP($C8,Master!$F:$AU,K$4,FALSE)</f>
        <v>0</v>
      </c>
      <c r="L8" s="620">
        <f>VLOOKUP($C8,Master!$F:$AU,L$4,FALSE)</f>
        <v>0</v>
      </c>
      <c r="M8" s="622" t="str">
        <f>VLOOKUP($C8,Master!$F:$AU,M$4,FALSE)</f>
        <v>Portal</v>
      </c>
      <c r="N8" s="622" t="str">
        <f>VLOOKUP($C8,Master!$F:$AU,N$4,FALSE)</f>
        <v>Portal</v>
      </c>
      <c r="O8" s="618">
        <f>VLOOKUP($C8,Master!$F:$AU,O$4,FALSE)</f>
        <v>0</v>
      </c>
      <c r="P8" s="623">
        <f>VLOOKUP($C8,Master!$F:$AU,P$4,FALSE)</f>
        <v>175000</v>
      </c>
      <c r="Q8" s="623">
        <f>VLOOKUP($C8,Master!$F:$AU,Q$4,FALSE)</f>
        <v>109375</v>
      </c>
      <c r="R8" s="623">
        <f>VLOOKUP($C8,Master!$F:$AU,R$4,FALSE)</f>
        <v>43750</v>
      </c>
      <c r="S8" s="623">
        <f>VLOOKUP($C8,Master!$F:$AU,S$4,FALSE)</f>
        <v>10937.5</v>
      </c>
      <c r="T8" s="623">
        <f>VLOOKUP($C8,Master!$F:$AU,T$4,FALSE)</f>
        <v>10937.5</v>
      </c>
      <c r="U8" s="623">
        <f>VLOOKUP($C8,Master!$F:$AU,U$4,FALSE)</f>
        <v>175000</v>
      </c>
      <c r="V8" s="624">
        <f>VLOOKUP($C8,Master!$F:$AU,V$4,FALSE)</f>
        <v>0</v>
      </c>
      <c r="W8" s="623">
        <f>VLOOKUP($C8,Master!$F:$AU,W$4,FALSE)</f>
        <v>0</v>
      </c>
      <c r="X8" s="623">
        <f>VLOOKUP($C8,Master!$F:$AU,X$4,FALSE)</f>
        <v>0</v>
      </c>
      <c r="Y8" s="623">
        <f>VLOOKUP($C8,Master!$F:$AU,Y$4,FALSE)</f>
        <v>0</v>
      </c>
      <c r="Z8" s="623">
        <f>VLOOKUP($C8,Master!$F:$AU,Z$4,FALSE)</f>
        <v>0</v>
      </c>
      <c r="AA8" s="625">
        <f>VLOOKUP($C8,Master!$F:$AU,AA$4,FALSE)</f>
        <v>925.92592592592598</v>
      </c>
      <c r="AB8" s="625">
        <f>VLOOKUP($C8,Master!$F:$AU,AB$4,FALSE)</f>
        <v>0</v>
      </c>
      <c r="AC8" s="625">
        <f>VLOOKUP($C8,Master!$F:$AU,AC$4,FALSE)</f>
        <v>0</v>
      </c>
      <c r="AD8" s="441">
        <f>VLOOKUP($C8,Master!$F:$AU,AD$4,FALSE)</f>
        <v>175000</v>
      </c>
      <c r="AE8" s="623">
        <f>VLOOKUP($C8,Master!$F:$AU,AE$4,FALSE)</f>
        <v>0</v>
      </c>
      <c r="AF8" s="623">
        <f>VLOOKUP($C8,Master!$F:$AU,AF$4,FALSE)</f>
        <v>0</v>
      </c>
      <c r="AG8" s="623">
        <f>VLOOKUP($C8,Master!$F:$AU,AG$4,FALSE)</f>
        <v>0</v>
      </c>
      <c r="AH8" s="623">
        <f>VLOOKUP($C8,Master!$F:$AU,AH$4,FALSE)</f>
        <v>0</v>
      </c>
      <c r="AI8" s="441">
        <f>VLOOKUP($C8,Master!$F:$AU,AI$4,FALSE)</f>
        <v>175000</v>
      </c>
      <c r="AJ8" s="623" t="str">
        <f>VLOOKUP($C8,Master!$F:$AU,AJ$4,FALSE)</f>
        <v>Habib Bank Limited</v>
      </c>
      <c r="AK8" s="627" t="str">
        <f>VLOOKUP($C8,Master!$F:$AU,AK$4,FALSE)</f>
        <v>0017-79008290-03</v>
      </c>
      <c r="AL8" s="628">
        <v>4220137461061</v>
      </c>
      <c r="AM8" s="620" t="str">
        <f>VLOOKUP($C8,Master!$F:$AU,AM$4,FALSE)</f>
        <v>Muhammad Ibtehaj Ali Haider</v>
      </c>
      <c r="AN8" s="623">
        <f>VLOOKUP($C8,Master!$F:$AU,AN$4,FALSE)</f>
        <v>175000</v>
      </c>
      <c r="AO8" s="623">
        <f>VLOOKUP($C8,Master!$F:$AU,AO$4,FALSE)</f>
        <v>0</v>
      </c>
      <c r="AP8" s="623">
        <f>VLOOKUP($C8,Master!$F:$AU,AP$4,FALSE)</f>
        <v>0</v>
      </c>
      <c r="AQ8" s="623">
        <f>VLOOKUP($C8,Master!$F:$AU,AQ$4,FALSE)</f>
        <v>0</v>
      </c>
      <c r="AR8" s="623">
        <f>VLOOKUP($C8,Master!$F:$AU,AR$4,FALSE)</f>
        <v>0</v>
      </c>
      <c r="AS8" s="441">
        <f>VLOOKUP($C8,Master!$F:$AU,AS$4,FALSE)</f>
        <v>175000</v>
      </c>
      <c r="AT8" s="623">
        <f>VLOOKUP($C8,Master!$F:$AU,AT$4,FALSE)</f>
        <v>0</v>
      </c>
      <c r="AU8" s="623">
        <f>VLOOKUP($C8,Master!$F:$AU,AU$4,FALSE)</f>
        <v>175000</v>
      </c>
      <c r="AW8" s="623">
        <f>+Master!$K$1</f>
        <v>276</v>
      </c>
      <c r="AX8" s="632">
        <f>+AD8/AW8</f>
        <v>634.05797101449275</v>
      </c>
      <c r="AY8" s="632">
        <f>+AD8/AW8</f>
        <v>634.05797101449275</v>
      </c>
    </row>
    <row r="9" spans="1:51" s="313" customFormat="1" ht="36" customHeight="1" x14ac:dyDescent="0.3">
      <c r="B9" s="320"/>
      <c r="C9" s="320"/>
      <c r="D9" s="459"/>
      <c r="E9" s="405"/>
      <c r="F9" s="405"/>
      <c r="G9" s="321"/>
      <c r="H9" s="320"/>
      <c r="I9" s="322"/>
      <c r="J9" s="323"/>
      <c r="K9" s="323"/>
      <c r="L9" s="323"/>
      <c r="M9" s="322"/>
      <c r="N9" s="322"/>
      <c r="O9" s="320"/>
      <c r="P9" s="325"/>
      <c r="Q9" s="325"/>
      <c r="R9" s="325"/>
      <c r="S9" s="325"/>
      <c r="T9" s="325"/>
      <c r="U9" s="325"/>
      <c r="V9" s="324"/>
      <c r="W9" s="325"/>
      <c r="X9" s="325"/>
      <c r="Y9" s="325"/>
      <c r="Z9" s="325"/>
      <c r="AA9" s="326"/>
      <c r="AB9" s="326"/>
      <c r="AC9" s="326"/>
      <c r="AD9" s="447"/>
      <c r="AE9" s="325"/>
      <c r="AF9" s="325"/>
      <c r="AG9" s="325"/>
      <c r="AH9" s="325"/>
      <c r="AI9" s="447"/>
      <c r="AJ9" s="445"/>
      <c r="AK9" s="330"/>
      <c r="AL9" s="331"/>
      <c r="AM9" s="322"/>
      <c r="AN9" s="325"/>
      <c r="AO9" s="325"/>
      <c r="AP9" s="325"/>
      <c r="AQ9" s="325"/>
      <c r="AR9" s="325"/>
      <c r="AS9" s="447"/>
      <c r="AT9" s="326"/>
      <c r="AU9" s="325"/>
      <c r="AV9" s="327"/>
      <c r="AW9" s="325"/>
      <c r="AX9" s="446"/>
    </row>
    <row r="10" spans="1:51" s="313" customFormat="1" ht="36" customHeight="1" x14ac:dyDescent="0.3">
      <c r="B10" s="320"/>
      <c r="C10" s="320"/>
      <c r="D10" s="459"/>
      <c r="E10" s="405"/>
      <c r="F10" s="405"/>
      <c r="G10" s="321"/>
      <c r="H10" s="320"/>
      <c r="I10" s="322"/>
      <c r="J10" s="323"/>
      <c r="K10" s="323"/>
      <c r="L10" s="323"/>
      <c r="M10" s="322"/>
      <c r="N10" s="322"/>
      <c r="O10" s="320"/>
      <c r="P10" s="325"/>
      <c r="Q10" s="325"/>
      <c r="R10" s="325"/>
      <c r="S10" s="325"/>
      <c r="T10" s="325"/>
      <c r="U10" s="325"/>
      <c r="V10" s="324"/>
      <c r="W10" s="325"/>
      <c r="X10" s="325"/>
      <c r="Y10" s="325"/>
      <c r="Z10" s="325"/>
      <c r="AA10" s="326"/>
      <c r="AB10" s="326"/>
      <c r="AC10" s="326"/>
      <c r="AD10" s="447"/>
      <c r="AE10" s="325"/>
      <c r="AF10" s="325"/>
      <c r="AG10" s="325"/>
      <c r="AH10" s="325"/>
      <c r="AI10" s="447"/>
      <c r="AJ10" s="445"/>
      <c r="AK10" s="330"/>
      <c r="AL10" s="331"/>
      <c r="AM10" s="322"/>
      <c r="AN10" s="325"/>
      <c r="AO10" s="325"/>
      <c r="AP10" s="325"/>
      <c r="AQ10" s="325"/>
      <c r="AR10" s="325"/>
      <c r="AS10" s="447"/>
      <c r="AT10" s="326"/>
      <c r="AU10" s="325"/>
      <c r="AV10" s="327"/>
      <c r="AW10" s="325"/>
      <c r="AX10" s="446"/>
    </row>
    <row r="11" spans="1:51" s="313" customFormat="1" ht="36" customHeight="1" x14ac:dyDescent="0.3">
      <c r="B11" s="320"/>
      <c r="C11" s="320"/>
      <c r="D11" s="459"/>
      <c r="E11" s="405"/>
      <c r="F11" s="405"/>
      <c r="G11" s="321"/>
      <c r="H11" s="320"/>
      <c r="I11" s="322"/>
      <c r="J11" s="323"/>
      <c r="K11" s="323"/>
      <c r="L11" s="323"/>
      <c r="M11" s="322"/>
      <c r="N11" s="322"/>
      <c r="O11" s="320"/>
      <c r="P11" s="332">
        <f t="shared" ref="P11:V11" si="0">SUBTOTAL(9,P7:P10)</f>
        <v>275000</v>
      </c>
      <c r="Q11" s="332">
        <f t="shared" si="0"/>
        <v>171875</v>
      </c>
      <c r="R11" s="332">
        <f t="shared" si="0"/>
        <v>68750</v>
      </c>
      <c r="S11" s="332">
        <f t="shared" si="0"/>
        <v>17187.5</v>
      </c>
      <c r="T11" s="332">
        <f t="shared" si="0"/>
        <v>17187.5</v>
      </c>
      <c r="U11" s="332">
        <f t="shared" si="0"/>
        <v>275000</v>
      </c>
      <c r="V11" s="332">
        <f t="shared" si="0"/>
        <v>0</v>
      </c>
      <c r="W11" s="448"/>
      <c r="X11" s="332">
        <f>SUBTOTAL(9,X7:X10)</f>
        <v>0</v>
      </c>
      <c r="Y11" s="448"/>
      <c r="Z11" s="332">
        <f>SUBTOTAL(9,Z7:Z10)</f>
        <v>28571.428571428569</v>
      </c>
      <c r="AA11" s="449"/>
      <c r="AB11" s="449"/>
      <c r="AC11" s="332">
        <f t="shared" ref="AC11:AI11" si="1">SUBTOTAL(9,AC7:AC10)</f>
        <v>0</v>
      </c>
      <c r="AD11" s="450">
        <f t="shared" si="1"/>
        <v>246428.57142857142</v>
      </c>
      <c r="AE11" s="332">
        <f t="shared" si="1"/>
        <v>0</v>
      </c>
      <c r="AF11" s="332">
        <f t="shared" si="1"/>
        <v>0</v>
      </c>
      <c r="AG11" s="332">
        <f t="shared" si="1"/>
        <v>0</v>
      </c>
      <c r="AH11" s="332">
        <f t="shared" si="1"/>
        <v>0</v>
      </c>
      <c r="AI11" s="450">
        <f t="shared" si="1"/>
        <v>246428.57142857142</v>
      </c>
      <c r="AJ11" s="327"/>
      <c r="AK11" s="442"/>
      <c r="AL11" s="443"/>
      <c r="AM11" s="328"/>
      <c r="AN11" s="332">
        <f t="shared" ref="AN11:AU11" si="2">SUBTOTAL(9,AN7:AN10)</f>
        <v>246428.57142857142</v>
      </c>
      <c r="AO11" s="332">
        <f t="shared" si="2"/>
        <v>0</v>
      </c>
      <c r="AP11" s="332">
        <f t="shared" si="2"/>
        <v>0</v>
      </c>
      <c r="AQ11" s="332">
        <f t="shared" si="2"/>
        <v>0</v>
      </c>
      <c r="AR11" s="332">
        <f t="shared" si="2"/>
        <v>0</v>
      </c>
      <c r="AS11" s="450">
        <f t="shared" si="2"/>
        <v>246428.57142857142</v>
      </c>
      <c r="AT11" s="451">
        <f t="shared" si="2"/>
        <v>0</v>
      </c>
      <c r="AU11" s="332">
        <f t="shared" si="2"/>
        <v>246428.57142857142</v>
      </c>
      <c r="AV11" s="327"/>
      <c r="AW11" s="332"/>
      <c r="AX11" s="450">
        <f>SUBTOTAL(9,AX7:AX10)</f>
        <v>892.85714285714289</v>
      </c>
    </row>
    <row r="12" spans="1:51" s="313" customFormat="1" ht="36" customHeight="1" x14ac:dyDescent="0.3">
      <c r="B12" s="320"/>
      <c r="C12" s="320"/>
      <c r="D12" s="459"/>
      <c r="E12" s="405"/>
      <c r="F12" s="405"/>
      <c r="G12" s="321"/>
      <c r="H12" s="320"/>
      <c r="I12" s="322"/>
      <c r="J12" s="323"/>
      <c r="K12" s="323"/>
      <c r="L12" s="323"/>
      <c r="M12" s="322"/>
      <c r="N12" s="322"/>
      <c r="O12" s="320"/>
      <c r="P12" s="324"/>
      <c r="Q12" s="325"/>
      <c r="R12" s="325"/>
      <c r="S12" s="325"/>
      <c r="T12" s="325"/>
      <c r="U12" s="325"/>
      <c r="V12" s="324"/>
      <c r="W12" s="325"/>
      <c r="X12" s="325"/>
      <c r="Y12" s="325"/>
      <c r="Z12" s="325"/>
      <c r="AA12" s="326"/>
      <c r="AB12" s="326"/>
      <c r="AC12" s="326"/>
      <c r="AD12" s="447"/>
      <c r="AE12" s="325"/>
      <c r="AF12" s="325"/>
      <c r="AG12" s="325"/>
      <c r="AH12" s="325"/>
      <c r="AI12" s="447"/>
      <c r="AJ12" s="327"/>
      <c r="AK12" s="442"/>
      <c r="AL12" s="443"/>
      <c r="AM12" s="328"/>
      <c r="AN12" s="327"/>
      <c r="AO12" s="327"/>
      <c r="AP12" s="327"/>
      <c r="AQ12" s="327"/>
      <c r="AR12" s="327"/>
      <c r="AS12" s="447"/>
      <c r="AT12" s="329"/>
      <c r="AU12" s="327"/>
      <c r="AV12" s="327"/>
      <c r="AW12" s="327"/>
      <c r="AX12" s="444"/>
    </row>
    <row r="13" spans="1:51" s="313" customFormat="1" ht="36" customHeight="1" x14ac:dyDescent="0.3">
      <c r="B13" s="320"/>
      <c r="C13" s="320"/>
      <c r="D13" s="459"/>
      <c r="E13" s="405"/>
      <c r="F13" s="405"/>
      <c r="G13" s="321"/>
      <c r="H13" s="320"/>
      <c r="I13" s="322"/>
      <c r="J13" s="323"/>
      <c r="K13" s="323"/>
      <c r="L13" s="323"/>
      <c r="M13" s="322"/>
      <c r="N13" s="322"/>
      <c r="O13" s="320"/>
      <c r="P13" s="325"/>
      <c r="Q13" s="325"/>
      <c r="R13" s="325"/>
      <c r="S13" s="325"/>
      <c r="T13" s="325"/>
      <c r="U13" s="325"/>
      <c r="V13" s="324"/>
      <c r="W13" s="325"/>
      <c r="X13" s="325"/>
      <c r="Y13" s="325"/>
      <c r="Z13" s="325"/>
      <c r="AA13" s="326"/>
      <c r="AB13" s="326"/>
      <c r="AC13" s="326"/>
      <c r="AD13" s="447"/>
      <c r="AE13" s="325"/>
      <c r="AF13" s="325"/>
      <c r="AG13" s="325"/>
      <c r="AH13" s="325"/>
      <c r="AI13" s="447"/>
      <c r="AJ13" s="445"/>
      <c r="AK13" s="330"/>
      <c r="AL13" s="331"/>
      <c r="AM13" s="322"/>
      <c r="AN13" s="325"/>
      <c r="AO13" s="325"/>
      <c r="AP13" s="325"/>
      <c r="AQ13" s="325"/>
      <c r="AR13" s="325"/>
      <c r="AS13" s="447"/>
      <c r="AT13" s="326"/>
      <c r="AU13" s="325"/>
      <c r="AV13" s="327"/>
      <c r="AW13" s="325"/>
      <c r="AX13" s="446"/>
    </row>
    <row r="14" spans="1:51" s="313" customFormat="1" ht="36" customHeight="1" x14ac:dyDescent="0.3">
      <c r="B14" s="320"/>
      <c r="C14" s="320"/>
      <c r="D14" s="459"/>
      <c r="E14" s="405"/>
      <c r="F14" s="405"/>
      <c r="G14" s="321"/>
      <c r="H14" s="320"/>
      <c r="I14" s="322"/>
      <c r="J14" s="323"/>
      <c r="K14" s="323"/>
      <c r="L14" s="323"/>
      <c r="M14" s="322"/>
      <c r="N14" s="322"/>
      <c r="O14" s="320"/>
      <c r="P14" s="325"/>
      <c r="Q14" s="325"/>
      <c r="R14" s="325"/>
      <c r="S14" s="325"/>
      <c r="T14" s="325"/>
      <c r="U14" s="325"/>
      <c r="V14" s="324"/>
      <c r="W14" s="325"/>
      <c r="X14" s="325"/>
      <c r="Y14" s="325"/>
      <c r="Z14" s="325"/>
      <c r="AA14" s="326"/>
      <c r="AB14" s="326"/>
      <c r="AC14" s="326"/>
      <c r="AD14" s="447"/>
      <c r="AE14" s="325"/>
      <c r="AF14" s="325"/>
      <c r="AG14" s="325"/>
      <c r="AH14" s="325"/>
      <c r="AI14" s="447"/>
      <c r="AJ14" s="445"/>
      <c r="AK14" s="330"/>
      <c r="AL14" s="331"/>
      <c r="AM14" s="322"/>
      <c r="AN14" s="325"/>
      <c r="AO14" s="325"/>
      <c r="AP14" s="325"/>
      <c r="AQ14" s="325"/>
      <c r="AR14" s="325"/>
      <c r="AS14" s="447"/>
      <c r="AT14" s="326"/>
      <c r="AU14" s="325"/>
      <c r="AV14" s="327"/>
      <c r="AW14" s="325"/>
      <c r="AX14" s="446"/>
    </row>
    <row r="15" spans="1:51" s="313" customFormat="1" ht="36" customHeight="1" x14ac:dyDescent="0.3">
      <c r="B15" s="320"/>
      <c r="C15" s="320"/>
      <c r="D15" s="459"/>
      <c r="E15" s="405"/>
      <c r="F15" s="405"/>
      <c r="G15" s="321"/>
      <c r="H15" s="320"/>
      <c r="I15" s="322"/>
      <c r="J15" s="323"/>
      <c r="K15" s="323"/>
      <c r="L15" s="323"/>
      <c r="M15" s="322"/>
      <c r="N15" s="322"/>
      <c r="O15" s="320"/>
      <c r="P15" s="325"/>
      <c r="Q15" s="325"/>
      <c r="R15" s="325"/>
      <c r="S15" s="325"/>
      <c r="T15" s="325"/>
      <c r="U15" s="325"/>
      <c r="V15" s="324"/>
      <c r="W15" s="325"/>
      <c r="X15" s="325"/>
      <c r="Y15" s="325"/>
      <c r="Z15" s="325"/>
      <c r="AA15" s="326"/>
      <c r="AB15" s="326"/>
      <c r="AC15" s="326"/>
      <c r="AD15" s="447"/>
      <c r="AE15" s="325"/>
      <c r="AF15" s="325"/>
      <c r="AG15" s="325"/>
      <c r="AH15" s="325"/>
      <c r="AI15" s="447"/>
      <c r="AJ15" s="445"/>
      <c r="AK15" s="330"/>
      <c r="AL15" s="331"/>
      <c r="AM15" s="322"/>
      <c r="AN15" s="325"/>
      <c r="AO15" s="325"/>
      <c r="AP15" s="325"/>
      <c r="AQ15" s="325"/>
      <c r="AR15" s="325"/>
      <c r="AS15" s="447"/>
      <c r="AT15" s="326"/>
      <c r="AU15" s="325"/>
      <c r="AV15" s="327"/>
      <c r="AW15" s="325"/>
      <c r="AX15" s="446"/>
    </row>
    <row r="16" spans="1:51" s="313" customFormat="1" ht="36" customHeight="1" x14ac:dyDescent="0.3">
      <c r="B16" s="320"/>
      <c r="C16" s="320"/>
      <c r="D16" s="459"/>
      <c r="E16" s="405"/>
      <c r="F16" s="405"/>
      <c r="G16" s="321"/>
      <c r="H16" s="320"/>
      <c r="I16" s="322"/>
      <c r="J16" s="323"/>
      <c r="K16" s="323"/>
      <c r="L16" s="323"/>
      <c r="M16" s="322"/>
      <c r="N16" s="322"/>
      <c r="O16" s="320"/>
      <c r="P16" s="324">
        <f t="shared" ref="P16:V16" si="3">SUBTOTAL(9,P13:P15)</f>
        <v>0</v>
      </c>
      <c r="Q16" s="324">
        <f t="shared" si="3"/>
        <v>0</v>
      </c>
      <c r="R16" s="324">
        <f t="shared" si="3"/>
        <v>0</v>
      </c>
      <c r="S16" s="324">
        <f t="shared" si="3"/>
        <v>0</v>
      </c>
      <c r="T16" s="324">
        <f t="shared" si="3"/>
        <v>0</v>
      </c>
      <c r="U16" s="332">
        <f t="shared" si="3"/>
        <v>0</v>
      </c>
      <c r="V16" s="332">
        <f t="shared" si="3"/>
        <v>0</v>
      </c>
      <c r="W16" s="448"/>
      <c r="X16" s="332">
        <f>SUBTOTAL(9,X13:X14)</f>
        <v>0</v>
      </c>
      <c r="Y16" s="448"/>
      <c r="Z16" s="332">
        <f>SUBTOTAL(9,Z13:Z15)</f>
        <v>0</v>
      </c>
      <c r="AA16" s="449"/>
      <c r="AB16" s="449"/>
      <c r="AC16" s="449"/>
      <c r="AD16" s="450">
        <f t="shared" ref="AD16:AU16" si="4">SUBTOTAL(9,AD13:AD15)</f>
        <v>0</v>
      </c>
      <c r="AE16" s="332">
        <f t="shared" si="4"/>
        <v>0</v>
      </c>
      <c r="AF16" s="332">
        <f t="shared" si="4"/>
        <v>0</v>
      </c>
      <c r="AG16" s="332">
        <f t="shared" si="4"/>
        <v>0</v>
      </c>
      <c r="AH16" s="332">
        <f t="shared" si="4"/>
        <v>0</v>
      </c>
      <c r="AI16" s="450">
        <f t="shared" si="4"/>
        <v>0</v>
      </c>
      <c r="AJ16" s="327">
        <f t="shared" si="4"/>
        <v>0</v>
      </c>
      <c r="AK16" s="442">
        <f t="shared" si="4"/>
        <v>0</v>
      </c>
      <c r="AL16" s="443">
        <f t="shared" si="4"/>
        <v>0</v>
      </c>
      <c r="AM16" s="328">
        <f t="shared" si="4"/>
        <v>0</v>
      </c>
      <c r="AN16" s="332">
        <f t="shared" si="4"/>
        <v>0</v>
      </c>
      <c r="AO16" s="332">
        <f t="shared" si="4"/>
        <v>0</v>
      </c>
      <c r="AP16" s="332">
        <f t="shared" si="4"/>
        <v>0</v>
      </c>
      <c r="AQ16" s="332">
        <f t="shared" si="4"/>
        <v>0</v>
      </c>
      <c r="AR16" s="332">
        <f t="shared" si="4"/>
        <v>0</v>
      </c>
      <c r="AS16" s="450">
        <f t="shared" si="4"/>
        <v>0</v>
      </c>
      <c r="AT16" s="451">
        <f t="shared" si="4"/>
        <v>0</v>
      </c>
      <c r="AU16" s="332">
        <f t="shared" si="4"/>
        <v>0</v>
      </c>
      <c r="AV16" s="327"/>
      <c r="AW16" s="332"/>
      <c r="AX16" s="450">
        <f>SUBTOTAL(9,AX13:AX14)</f>
        <v>0</v>
      </c>
    </row>
    <row r="17" spans="2:50" s="313" customFormat="1" ht="36" customHeight="1" x14ac:dyDescent="0.3">
      <c r="B17" s="320"/>
      <c r="C17" s="320"/>
      <c r="D17" s="459"/>
      <c r="E17" s="405"/>
      <c r="F17" s="405"/>
      <c r="G17" s="321"/>
      <c r="H17" s="320"/>
      <c r="I17" s="322"/>
      <c r="J17" s="323"/>
      <c r="K17" s="323"/>
      <c r="L17" s="323"/>
      <c r="M17" s="322"/>
      <c r="N17" s="322"/>
      <c r="O17" s="320"/>
      <c r="P17" s="334"/>
      <c r="Q17" s="334"/>
      <c r="R17" s="334"/>
      <c r="S17" s="334"/>
      <c r="T17" s="334"/>
      <c r="U17" s="334"/>
      <c r="V17" s="333"/>
      <c r="W17" s="334"/>
      <c r="X17" s="334"/>
      <c r="Y17" s="334"/>
      <c r="Z17" s="334"/>
      <c r="AA17" s="335"/>
      <c r="AB17" s="335"/>
      <c r="AC17" s="335"/>
      <c r="AD17" s="452"/>
      <c r="AE17" s="334"/>
      <c r="AF17" s="334"/>
      <c r="AG17" s="334"/>
      <c r="AH17" s="334"/>
      <c r="AI17" s="452"/>
      <c r="AJ17" s="327"/>
      <c r="AK17" s="442"/>
      <c r="AL17" s="443"/>
      <c r="AM17" s="328"/>
      <c r="AN17" s="327"/>
      <c r="AO17" s="327"/>
      <c r="AP17" s="327"/>
      <c r="AQ17" s="327"/>
      <c r="AR17" s="327"/>
      <c r="AS17" s="452"/>
      <c r="AT17" s="329"/>
      <c r="AU17" s="327"/>
      <c r="AV17" s="327"/>
      <c r="AW17" s="327"/>
      <c r="AX17" s="444"/>
    </row>
    <row r="18" spans="2:50" s="312" customFormat="1" ht="36" customHeight="1" x14ac:dyDescent="0.3">
      <c r="B18" s="320"/>
      <c r="C18" s="453"/>
      <c r="D18" s="459"/>
      <c r="E18" s="405"/>
      <c r="F18" s="405"/>
      <c r="G18" s="317"/>
      <c r="H18" s="453"/>
      <c r="I18" s="454"/>
      <c r="J18" s="455"/>
      <c r="K18" s="455"/>
      <c r="L18" s="455"/>
      <c r="M18" s="456"/>
      <c r="N18" s="456"/>
      <c r="O18" s="454"/>
      <c r="P18" s="332">
        <f t="shared" ref="P18:V18" si="5">SUBTOTAL(9,P6:P17)</f>
        <v>275000</v>
      </c>
      <c r="Q18" s="332">
        <f t="shared" si="5"/>
        <v>171875</v>
      </c>
      <c r="R18" s="332">
        <f t="shared" si="5"/>
        <v>68750</v>
      </c>
      <c r="S18" s="332">
        <f t="shared" si="5"/>
        <v>17187.5</v>
      </c>
      <c r="T18" s="332">
        <f t="shared" si="5"/>
        <v>17187.5</v>
      </c>
      <c r="U18" s="332">
        <f t="shared" si="5"/>
        <v>275000</v>
      </c>
      <c r="V18" s="332">
        <f t="shared" si="5"/>
        <v>0</v>
      </c>
      <c r="W18" s="448"/>
      <c r="X18" s="332">
        <f>SUBTOTAL(9,X6:X17)</f>
        <v>0</v>
      </c>
      <c r="Y18" s="332"/>
      <c r="Z18" s="332">
        <f>SUBTOTAL(9,Z6:Z17)</f>
        <v>28571.428571428569</v>
      </c>
      <c r="AA18" s="449"/>
      <c r="AB18" s="332"/>
      <c r="AC18" s="332">
        <f t="shared" ref="AC18:AI18" si="6">SUBTOTAL(9,AC6:AC17)</f>
        <v>0</v>
      </c>
      <c r="AD18" s="450">
        <f t="shared" si="6"/>
        <v>246428.57142857142</v>
      </c>
      <c r="AE18" s="332">
        <f t="shared" si="6"/>
        <v>0</v>
      </c>
      <c r="AF18" s="332">
        <f t="shared" si="6"/>
        <v>0</v>
      </c>
      <c r="AG18" s="332">
        <f t="shared" si="6"/>
        <v>0</v>
      </c>
      <c r="AH18" s="332">
        <f t="shared" si="6"/>
        <v>0</v>
      </c>
      <c r="AI18" s="450">
        <f t="shared" si="6"/>
        <v>246428.57142857142</v>
      </c>
      <c r="AJ18" s="336"/>
      <c r="AK18" s="336"/>
      <c r="AL18" s="336"/>
      <c r="AM18" s="336"/>
      <c r="AN18" s="457">
        <f t="shared" ref="AN18:AU18" si="7">SUBTOTAL(9,AN6:AN17)</f>
        <v>246428.57142857142</v>
      </c>
      <c r="AO18" s="457">
        <f t="shared" si="7"/>
        <v>0</v>
      </c>
      <c r="AP18" s="457">
        <f t="shared" si="7"/>
        <v>0</v>
      </c>
      <c r="AQ18" s="457">
        <f t="shared" si="7"/>
        <v>0</v>
      </c>
      <c r="AR18" s="457">
        <f t="shared" si="7"/>
        <v>0</v>
      </c>
      <c r="AS18" s="450">
        <f t="shared" si="7"/>
        <v>246428.57142857142</v>
      </c>
      <c r="AT18" s="458">
        <f t="shared" si="7"/>
        <v>0</v>
      </c>
      <c r="AU18" s="457">
        <f t="shared" si="7"/>
        <v>246428.57142857142</v>
      </c>
      <c r="AV18" s="336"/>
      <c r="AW18" s="457"/>
      <c r="AX18" s="441">
        <f>SUBTOTAL(9,AX6:AX17)</f>
        <v>892.85714285714289</v>
      </c>
    </row>
    <row r="19" spans="2:50" s="338" customFormat="1" ht="28.2" customHeight="1" x14ac:dyDescent="0.3">
      <c r="B19" s="370"/>
      <c r="C19" s="371"/>
      <c r="D19" s="371"/>
      <c r="E19" s="371"/>
      <c r="F19" s="371"/>
      <c r="G19" s="372"/>
      <c r="H19" s="371"/>
      <c r="I19" s="373"/>
      <c r="J19" s="374"/>
      <c r="K19" s="374"/>
      <c r="L19" s="374"/>
      <c r="M19" s="375"/>
      <c r="N19" s="375"/>
      <c r="O19" s="373"/>
      <c r="P19" s="369"/>
      <c r="Q19" s="369"/>
      <c r="R19" s="369"/>
      <c r="S19" s="369"/>
      <c r="T19" s="369"/>
      <c r="U19" s="369"/>
      <c r="V19" s="369"/>
      <c r="W19" s="369"/>
      <c r="X19" s="369"/>
      <c r="Y19" s="369"/>
      <c r="Z19" s="369"/>
      <c r="AA19" s="369"/>
      <c r="AB19" s="369"/>
      <c r="AC19" s="369"/>
      <c r="AD19" s="369"/>
      <c r="AE19" s="369"/>
      <c r="AF19" s="369"/>
      <c r="AG19" s="369"/>
      <c r="AH19" s="369"/>
      <c r="AI19" s="369"/>
      <c r="AJ19" s="369"/>
      <c r="AK19" s="369"/>
      <c r="AL19" s="369"/>
      <c r="AM19" s="369"/>
      <c r="AN19" s="369"/>
      <c r="AO19" s="369"/>
      <c r="AP19" s="369"/>
      <c r="AQ19" s="369"/>
      <c r="AR19" s="369"/>
      <c r="AS19" s="369"/>
      <c r="AT19" s="376"/>
      <c r="AU19" s="369"/>
      <c r="AV19" s="369"/>
      <c r="AW19" s="369"/>
    </row>
    <row r="20" spans="2:50" ht="28.2" customHeight="1" x14ac:dyDescent="0.3">
      <c r="B20" s="377"/>
      <c r="M20" s="353" t="s">
        <v>36</v>
      </c>
      <c r="N20" s="353" t="s">
        <v>150</v>
      </c>
      <c r="P20" s="378">
        <f>SUMIFS(Master!P$7:P$57,Master!$M$7:$M$57,'Payroll DES Apr24'!$M20,Master!$N$7:$N$57,'Payroll DES Apr24'!$N20)</f>
        <v>0</v>
      </c>
      <c r="Q20" s="348"/>
      <c r="R20" s="348"/>
      <c r="S20" s="348"/>
      <c r="T20" s="348"/>
      <c r="U20" s="378">
        <f>SUMIFS(Master!U$7:U$57,Master!$M$7:$M$57,'Payroll DES Apr24'!$M20,Master!$N$7:$N$57,'Payroll DES Apr24'!$N20)</f>
        <v>0</v>
      </c>
      <c r="V20" s="379"/>
      <c r="W20" s="348"/>
      <c r="X20" s="348"/>
      <c r="Y20" s="348"/>
      <c r="Z20" s="378">
        <f>SUMIFS(Master!Z$7:Z$57,Master!$M$7:$M$57,'Payroll DES Apr24'!$M20,Master!$N$7:$N$57,'Payroll DES Apr24'!$N20)</f>
        <v>0</v>
      </c>
      <c r="AA20" s="348"/>
      <c r="AB20" s="348"/>
      <c r="AC20" s="378">
        <f>SUMIFS(Master!AC$7:AC$57,Master!$M$7:$M$57,'Payroll DES Apr24'!$M20,Master!$N$7:$N$57,'Payroll DES Apr24'!$N20)</f>
        <v>0</v>
      </c>
      <c r="AD20" s="378">
        <f>SUMIFS(Master!AD$7:AD$57,Master!$M$7:$M$57,'Payroll DES Apr24'!$M20,Master!$N$7:$N$57,'Payroll DES Apr24'!$N20)</f>
        <v>0</v>
      </c>
      <c r="AE20" s="378">
        <f>SUMIFS(Master!AE$7:AE$57,Master!$M$7:$M$57,'Payroll DES Apr24'!$M20,Master!$N$7:$N$57,'Payroll DES Apr24'!$N20)</f>
        <v>0</v>
      </c>
      <c r="AF20" s="378">
        <f>SUMIFS(Master!AF$7:AF$57,Master!$M$7:$M$57,'Payroll DES Apr24'!$M20,Master!$N$7:$N$57,'Payroll DES Apr24'!$N20)</f>
        <v>0</v>
      </c>
      <c r="AG20" s="378">
        <f>SUMIFS(Master!AG$7:AG$57,Master!$M$7:$M$57,'Payroll DES Apr24'!$M20,Master!$N$7:$N$57,'Payroll DES Apr24'!$N20)</f>
        <v>0</v>
      </c>
      <c r="AH20" s="378">
        <f>SUMIFS(Master!AH$7:AH$57,Master!$M$7:$M$57,'Payroll DES Apr24'!$M20,Master!$N$7:$N$57,'Payroll DES Apr24'!$N20)</f>
        <v>0</v>
      </c>
      <c r="AI20" s="378">
        <f>SUMIFS(Master!AI$7:AI$57,Master!$M$7:$M$57,'Payroll DES Apr24'!$M20,Master!$N$7:$N$57,'Payroll DES Apr24'!$N20)</f>
        <v>0</v>
      </c>
      <c r="AJ20" s="348"/>
      <c r="AK20" s="348"/>
      <c r="AL20" s="348"/>
      <c r="AM20" s="348"/>
      <c r="AN20" s="378">
        <f>SUMIFS(Master!AN$7:AN$57,Master!$M$7:$M$57,'Payroll DES Apr24'!$M20,Master!$N$7:$N$57,'Payroll DES Apr24'!$N20)</f>
        <v>0</v>
      </c>
      <c r="AO20" s="378">
        <f>SUMIFS(Master!AO$7:AO$57,Master!$M$7:$M$57,'Payroll DES Apr24'!$M20,Master!$N$7:$N$57,'Payroll DES Apr24'!$N20)</f>
        <v>0</v>
      </c>
      <c r="AP20" s="378">
        <f>SUMIFS(Master!AP$7:AP$57,Master!$M$7:$M$57,'Payroll DES Apr24'!$M20,Master!$N$7:$N$57,'Payroll DES Apr24'!$N20)</f>
        <v>0</v>
      </c>
      <c r="AQ20" s="378">
        <f>SUMIFS(Master!AQ$7:AQ$57,Master!$M$7:$M$57,'Payroll DES Apr24'!$M20,Master!$N$7:$N$57,'Payroll DES Apr24'!$N20)</f>
        <v>0</v>
      </c>
      <c r="AR20" s="378">
        <f>SUMIFS(Master!AR$7:AR$57,Master!$M$7:$M$57,'Payroll DES Apr24'!$M20,Master!$N$7:$N$57,'Payroll DES Apr24'!$N20)</f>
        <v>0</v>
      </c>
      <c r="AS20" s="378">
        <f>SUMIFS(Master!AS$7:AS$57,Master!$M$7:$M$57,'Payroll DES Apr24'!$M20,Master!$N$7:$N$57,'Payroll DES Apr24'!$N20)</f>
        <v>0</v>
      </c>
      <c r="AT20" s="380">
        <f>SUMIFS(Master!AT$7:AT$57,Master!$M$7:$M$57,'Payroll DES Apr24'!$M20,Master!$N$7:$N$57,'Payroll DES Apr24'!$N20)</f>
        <v>0</v>
      </c>
      <c r="AU20" s="378">
        <f>SUMIFS(Master!AU$7:AU$57,Master!$M$7:$M$57,'Payroll DES Apr24'!$M20,Master!$N$7:$N$57,'Payroll DES Apr24'!$N20)</f>
        <v>0</v>
      </c>
      <c r="AW20" s="378"/>
    </row>
    <row r="21" spans="2:50" ht="28.2" customHeight="1" x14ac:dyDescent="0.3">
      <c r="B21" s="377"/>
      <c r="C21" s="370"/>
      <c r="D21" s="370"/>
      <c r="E21" s="370"/>
      <c r="F21" s="370"/>
      <c r="G21" s="381"/>
      <c r="H21" s="370"/>
      <c r="I21" s="382"/>
      <c r="J21" s="383"/>
      <c r="K21" s="383"/>
      <c r="L21" s="383"/>
      <c r="M21" s="368" t="s">
        <v>61</v>
      </c>
      <c r="N21" s="368" t="s">
        <v>59</v>
      </c>
      <c r="O21" s="382"/>
      <c r="P21" s="378">
        <f>SUMIFS(Master!P$7:P$57,Master!$M$7:$M$57,'Payroll DES Apr24'!$M21,Master!$N$7:$N$57,'Payroll DES Apr24'!$N21)</f>
        <v>0</v>
      </c>
      <c r="Q21" s="348"/>
      <c r="R21" s="348"/>
      <c r="S21" s="348"/>
      <c r="T21" s="348"/>
      <c r="U21" s="378">
        <f>SUMIFS(Master!U$7:U$57,Master!$M$7:$M$57,'Payroll DES Apr24'!$M21,Master!$N$7:$N$57,'Payroll DES Apr24'!$N21)</f>
        <v>0</v>
      </c>
      <c r="V21" s="379"/>
      <c r="W21" s="348"/>
      <c r="X21" s="348"/>
      <c r="Y21" s="348"/>
      <c r="Z21" s="378">
        <f>SUMIFS(Master!Z$7:Z$57,Master!$M$7:$M$57,'Payroll DES Apr24'!$M21,Master!$N$7:$N$57,'Payroll DES Apr24'!$N21)</f>
        <v>0</v>
      </c>
      <c r="AA21" s="348"/>
      <c r="AB21" s="348"/>
      <c r="AC21" s="378">
        <f>SUMIFS(Master!AC$7:AC$57,Master!$M$7:$M$57,'Payroll DES Apr24'!$M21,Master!$N$7:$N$57,'Payroll DES Apr24'!$N21)</f>
        <v>0</v>
      </c>
      <c r="AD21" s="378">
        <f>SUMIFS(Master!AD$7:AD$57,Master!$M$7:$M$57,'Payroll DES Apr24'!$M21,Master!$N$7:$N$57,'Payroll DES Apr24'!$N21)</f>
        <v>0</v>
      </c>
      <c r="AE21" s="378">
        <f>SUMIFS(Master!AE$7:AE$57,Master!$M$7:$M$57,'Payroll DES Apr24'!$M21,Master!$N$7:$N$57,'Payroll DES Apr24'!$N21)</f>
        <v>0</v>
      </c>
      <c r="AF21" s="378">
        <f>SUMIFS(Master!AF$7:AF$57,Master!$M$7:$M$57,'Payroll DES Apr24'!$M21,Master!$N$7:$N$57,'Payroll DES Apr24'!$N21)</f>
        <v>0</v>
      </c>
      <c r="AG21" s="378">
        <f>SUMIFS(Master!AG$7:AG$57,Master!$M$7:$M$57,'Payroll DES Apr24'!$M21,Master!$N$7:$N$57,'Payroll DES Apr24'!$N21)</f>
        <v>0</v>
      </c>
      <c r="AH21" s="378">
        <f>SUMIFS(Master!AH$7:AH$57,Master!$M$7:$M$57,'Payroll DES Apr24'!$M21,Master!$N$7:$N$57,'Payroll DES Apr24'!$N21)</f>
        <v>0</v>
      </c>
      <c r="AI21" s="378">
        <f>SUMIFS(Master!AI$7:AI$57,Master!$M$7:$M$57,'Payroll DES Apr24'!$M21,Master!$N$7:$N$57,'Payroll DES Apr24'!$N21)</f>
        <v>0</v>
      </c>
      <c r="AJ21" s="348"/>
      <c r="AK21" s="348"/>
      <c r="AL21" s="348"/>
      <c r="AM21" s="366"/>
      <c r="AN21" s="378">
        <f>SUMIFS(Master!AN$7:AN$57,Master!$M$7:$M$57,'Payroll DES Apr24'!$M21,Master!$N$7:$N$57,'Payroll DES Apr24'!$N21)</f>
        <v>0</v>
      </c>
      <c r="AO21" s="378">
        <f>SUMIFS(Master!AO$7:AO$57,Master!$M$7:$M$57,'Payroll DES Apr24'!$M21,Master!$N$7:$N$57,'Payroll DES Apr24'!$N21)</f>
        <v>0</v>
      </c>
      <c r="AP21" s="378">
        <f>SUMIFS(Master!AP$7:AP$57,Master!$M$7:$M$57,'Payroll DES Apr24'!$M21,Master!$N$7:$N$57,'Payroll DES Apr24'!$N21)</f>
        <v>0</v>
      </c>
      <c r="AQ21" s="378">
        <f>SUMIFS(Master!AQ$7:AQ$57,Master!$M$7:$M$57,'Payroll DES Apr24'!$M21,Master!$N$7:$N$57,'Payroll DES Apr24'!$N21)</f>
        <v>0</v>
      </c>
      <c r="AR21" s="378">
        <f>SUMIFS(Master!AR$7:AR$57,Master!$M$7:$M$57,'Payroll DES Apr24'!$M21,Master!$N$7:$N$57,'Payroll DES Apr24'!$N21)</f>
        <v>0</v>
      </c>
      <c r="AS21" s="378">
        <f>SUMIFS(Master!AS$7:AS$57,Master!$M$7:$M$57,'Payroll DES Apr24'!$M21,Master!$N$7:$N$57,'Payroll DES Apr24'!$N21)</f>
        <v>0</v>
      </c>
      <c r="AT21" s="380">
        <f>SUMIFS(Master!AT$7:AT$57,Master!$M$7:$M$57,'Payroll DES Apr24'!$M21,Master!$N$7:$N$57,'Payroll DES Apr24'!$N21)</f>
        <v>0</v>
      </c>
      <c r="AU21" s="378">
        <f>SUMIFS(Master!AU$7:AU$57,Master!$M$7:$M$57,'Payroll DES Apr24'!$M21,Master!$N$7:$N$57,'Payroll DES Apr24'!$N21)</f>
        <v>0</v>
      </c>
      <c r="AV21" s="366"/>
      <c r="AW21" s="378"/>
    </row>
    <row r="22" spans="2:50" ht="28.2" customHeight="1" x14ac:dyDescent="0.3">
      <c r="B22" s="348"/>
      <c r="M22" s="384"/>
      <c r="N22" s="384"/>
      <c r="P22" s="385">
        <f>SUM(P20:P21)</f>
        <v>0</v>
      </c>
      <c r="Q22" s="348"/>
      <c r="R22" s="348"/>
      <c r="S22" s="348"/>
      <c r="T22" s="348"/>
      <c r="U22" s="385">
        <f>SUM(U20:U21)</f>
        <v>0</v>
      </c>
      <c r="V22" s="379"/>
      <c r="W22" s="348"/>
      <c r="X22" s="348"/>
      <c r="Y22" s="348"/>
      <c r="Z22" s="385">
        <f>SUM(Z20:Z21)</f>
        <v>0</v>
      </c>
      <c r="AA22" s="348"/>
      <c r="AB22" s="348"/>
      <c r="AC22" s="385">
        <f t="shared" ref="AC22:AI22" si="8">SUM(AC20:AC21)</f>
        <v>0</v>
      </c>
      <c r="AD22" s="385">
        <f t="shared" si="8"/>
        <v>0</v>
      </c>
      <c r="AE22" s="385">
        <f t="shared" si="8"/>
        <v>0</v>
      </c>
      <c r="AF22" s="385">
        <f t="shared" si="8"/>
        <v>0</v>
      </c>
      <c r="AG22" s="385">
        <f t="shared" si="8"/>
        <v>0</v>
      </c>
      <c r="AH22" s="385">
        <f t="shared" si="8"/>
        <v>0</v>
      </c>
      <c r="AI22" s="385">
        <f t="shared" si="8"/>
        <v>0</v>
      </c>
      <c r="AJ22" s="348"/>
      <c r="AK22" s="348"/>
      <c r="AL22" s="348"/>
      <c r="AM22" s="348"/>
      <c r="AN22" s="385">
        <f t="shared" ref="AN22:AU22" si="9">SUM(AN20:AN21)</f>
        <v>0</v>
      </c>
      <c r="AO22" s="385">
        <f t="shared" si="9"/>
        <v>0</v>
      </c>
      <c r="AP22" s="385">
        <f t="shared" si="9"/>
        <v>0</v>
      </c>
      <c r="AQ22" s="385">
        <f t="shared" si="9"/>
        <v>0</v>
      </c>
      <c r="AR22" s="385">
        <f t="shared" si="9"/>
        <v>0</v>
      </c>
      <c r="AS22" s="385">
        <f t="shared" si="9"/>
        <v>0</v>
      </c>
      <c r="AT22" s="386">
        <f t="shared" si="9"/>
        <v>0</v>
      </c>
      <c r="AU22" s="385">
        <f t="shared" si="9"/>
        <v>0</v>
      </c>
      <c r="AW22" s="385"/>
    </row>
    <row r="23" spans="2:50" ht="28.2" customHeight="1" x14ac:dyDescent="0.3">
      <c r="B23" s="377"/>
      <c r="M23" s="384"/>
      <c r="N23" s="384"/>
      <c r="P23" s="348"/>
      <c r="Q23" s="348"/>
      <c r="R23" s="348"/>
      <c r="S23" s="348"/>
      <c r="T23" s="348"/>
      <c r="U23" s="348"/>
      <c r="V23" s="379"/>
      <c r="W23" s="348"/>
      <c r="X23" s="348"/>
      <c r="Y23" s="348"/>
      <c r="Z23" s="348"/>
      <c r="AA23" s="348"/>
      <c r="AB23" s="348"/>
      <c r="AC23" s="348"/>
      <c r="AD23" s="348"/>
      <c r="AE23" s="348"/>
      <c r="AF23" s="348"/>
      <c r="AG23" s="348"/>
      <c r="AH23" s="348"/>
      <c r="AI23" s="348"/>
      <c r="AJ23" s="348"/>
      <c r="AK23" s="348"/>
      <c r="AL23" s="348"/>
      <c r="AM23" s="348"/>
      <c r="AN23" s="348"/>
      <c r="AO23" s="348"/>
      <c r="AP23" s="348"/>
      <c r="AQ23" s="348"/>
      <c r="AR23" s="348"/>
      <c r="AS23" s="348"/>
      <c r="AT23" s="367"/>
      <c r="AU23" s="348"/>
      <c r="AW23" s="348"/>
    </row>
    <row r="24" spans="2:50" ht="28.2" customHeight="1" x14ac:dyDescent="0.3">
      <c r="M24" s="384"/>
      <c r="N24" s="384"/>
      <c r="P24" s="348"/>
      <c r="Q24" s="348"/>
      <c r="R24" s="348"/>
      <c r="S24" s="348"/>
      <c r="T24" s="348"/>
      <c r="U24" s="348"/>
      <c r="V24" s="379"/>
      <c r="W24" s="348"/>
      <c r="X24" s="348"/>
      <c r="Y24" s="348"/>
      <c r="Z24" s="348"/>
      <c r="AA24" s="348"/>
      <c r="AB24" s="348"/>
      <c r="AC24" s="348"/>
      <c r="AD24" s="348"/>
      <c r="AE24" s="348"/>
      <c r="AF24" s="348"/>
      <c r="AG24" s="348"/>
      <c r="AH24" s="348"/>
      <c r="AI24" s="348"/>
      <c r="AJ24" s="348"/>
      <c r="AK24" s="348"/>
      <c r="AL24" s="348"/>
      <c r="AM24" s="348"/>
      <c r="AN24" s="348"/>
      <c r="AO24" s="348"/>
      <c r="AP24" s="348"/>
      <c r="AQ24" s="348"/>
      <c r="AR24" s="348"/>
      <c r="AS24" s="348"/>
      <c r="AT24" s="367"/>
      <c r="AU24" s="348"/>
      <c r="AW24" s="348"/>
    </row>
    <row r="25" spans="2:50" ht="28.2" customHeight="1" x14ac:dyDescent="0.3">
      <c r="M25" s="384"/>
      <c r="N25" s="384"/>
      <c r="P25" s="348"/>
      <c r="Q25" s="348"/>
      <c r="R25" s="348"/>
      <c r="S25" s="348"/>
      <c r="T25" s="348"/>
      <c r="U25" s="348"/>
      <c r="V25" s="379"/>
      <c r="W25" s="348"/>
      <c r="X25" s="348"/>
      <c r="Y25" s="348"/>
      <c r="Z25" s="348"/>
      <c r="AA25" s="348"/>
      <c r="AB25" s="348"/>
      <c r="AC25" s="348"/>
      <c r="AD25" s="348"/>
      <c r="AE25" s="348"/>
      <c r="AF25" s="348"/>
      <c r="AG25" s="348"/>
      <c r="AH25" s="348"/>
      <c r="AI25" s="348"/>
      <c r="AJ25" s="348"/>
      <c r="AK25" s="348"/>
      <c r="AL25" s="348"/>
      <c r="AM25" s="348"/>
      <c r="AN25" s="348"/>
      <c r="AO25" s="348"/>
      <c r="AP25" s="348"/>
      <c r="AQ25" s="348"/>
      <c r="AR25" s="348"/>
      <c r="AS25" s="348"/>
      <c r="AT25" s="367"/>
      <c r="AU25" s="348"/>
      <c r="AW25" s="348"/>
    </row>
    <row r="26" spans="2:50" ht="28.2" customHeight="1" x14ac:dyDescent="0.3">
      <c r="P26" s="348"/>
      <c r="Q26" s="348"/>
      <c r="R26" s="348"/>
      <c r="S26" s="348"/>
      <c r="T26" s="348"/>
      <c r="U26" s="348"/>
      <c r="V26" s="379"/>
      <c r="W26" s="348"/>
      <c r="X26" s="348"/>
      <c r="Y26" s="348"/>
      <c r="Z26" s="348"/>
      <c r="AA26" s="348"/>
      <c r="AB26" s="348"/>
      <c r="AC26" s="348"/>
      <c r="AD26" s="348"/>
      <c r="AE26" s="348"/>
      <c r="AF26" s="348"/>
      <c r="AG26" s="348"/>
      <c r="AH26" s="348"/>
      <c r="AI26" s="348"/>
      <c r="AJ26" s="348"/>
      <c r="AK26" s="348"/>
      <c r="AL26" s="348"/>
      <c r="AM26" s="348"/>
      <c r="AN26" s="348"/>
      <c r="AO26" s="348"/>
      <c r="AP26" s="348"/>
      <c r="AQ26" s="348"/>
      <c r="AR26" s="348"/>
      <c r="AS26" s="348"/>
      <c r="AT26" s="367"/>
      <c r="AU26" s="348"/>
      <c r="AW26" s="348"/>
    </row>
    <row r="27" spans="2:50" ht="28.2" customHeight="1" x14ac:dyDescent="0.3">
      <c r="P27" s="348"/>
      <c r="Q27" s="348"/>
      <c r="R27" s="348"/>
      <c r="S27" s="348"/>
      <c r="T27" s="348"/>
      <c r="U27" s="348"/>
      <c r="V27" s="379"/>
      <c r="W27" s="348"/>
      <c r="X27" s="348"/>
      <c r="Y27" s="348"/>
      <c r="Z27" s="348"/>
      <c r="AA27" s="348"/>
      <c r="AB27" s="348"/>
      <c r="AC27" s="348"/>
      <c r="AD27" s="348"/>
      <c r="AE27" s="348"/>
      <c r="AF27" s="348"/>
      <c r="AG27" s="348"/>
      <c r="AH27" s="348"/>
      <c r="AI27" s="348"/>
      <c r="AJ27" s="348"/>
      <c r="AK27" s="348"/>
      <c r="AL27" s="348"/>
      <c r="AM27" s="348"/>
      <c r="AN27" s="348"/>
      <c r="AO27" s="348"/>
      <c r="AP27" s="348"/>
      <c r="AQ27" s="348"/>
      <c r="AR27" s="348"/>
      <c r="AS27" s="348"/>
      <c r="AT27" s="367"/>
      <c r="AU27" s="348"/>
      <c r="AW27" s="348"/>
    </row>
    <row r="28" spans="2:50" ht="28.2" customHeight="1" x14ac:dyDescent="0.3">
      <c r="P28" s="348"/>
      <c r="Q28" s="348"/>
      <c r="R28" s="348"/>
      <c r="S28" s="348"/>
      <c r="T28" s="348"/>
      <c r="U28" s="348"/>
      <c r="V28" s="379"/>
      <c r="W28" s="348"/>
      <c r="X28" s="348"/>
      <c r="Y28" s="348"/>
      <c r="Z28" s="348"/>
      <c r="AA28" s="348"/>
      <c r="AB28" s="348"/>
      <c r="AC28" s="348"/>
      <c r="AD28" s="348"/>
      <c r="AE28" s="348"/>
      <c r="AF28" s="348"/>
      <c r="AG28" s="348"/>
      <c r="AH28" s="348"/>
      <c r="AI28" s="348"/>
      <c r="AJ28" s="348"/>
      <c r="AK28" s="348"/>
      <c r="AL28" s="348"/>
      <c r="AM28" s="348"/>
      <c r="AN28" s="348"/>
      <c r="AO28" s="348"/>
      <c r="AP28" s="348"/>
      <c r="AQ28" s="348"/>
      <c r="AR28" s="348"/>
      <c r="AS28" s="348"/>
      <c r="AT28" s="367"/>
      <c r="AU28" s="348"/>
      <c r="AW28" s="348"/>
    </row>
    <row r="29" spans="2:50" ht="28.2" customHeight="1" x14ac:dyDescent="0.3">
      <c r="P29" s="348"/>
      <c r="Q29" s="348"/>
      <c r="R29" s="348"/>
      <c r="S29" s="348"/>
      <c r="T29" s="348"/>
      <c r="U29" s="348"/>
      <c r="V29" s="379"/>
      <c r="W29" s="348"/>
      <c r="X29" s="348"/>
      <c r="Y29" s="348"/>
      <c r="Z29" s="348"/>
      <c r="AA29" s="348"/>
      <c r="AB29" s="348"/>
      <c r="AC29" s="348"/>
      <c r="AD29" s="348"/>
      <c r="AE29" s="348"/>
      <c r="AF29" s="348"/>
      <c r="AG29" s="348"/>
      <c r="AH29" s="348"/>
      <c r="AI29" s="348"/>
      <c r="AJ29" s="348"/>
      <c r="AK29" s="348"/>
      <c r="AL29" s="348"/>
      <c r="AM29" s="348"/>
      <c r="AN29" s="348"/>
      <c r="AO29" s="348"/>
      <c r="AP29" s="348"/>
      <c r="AQ29" s="348"/>
      <c r="AR29" s="348"/>
      <c r="AS29" s="348"/>
      <c r="AT29" s="367"/>
      <c r="AU29" s="348"/>
      <c r="AW29" s="348"/>
    </row>
    <row r="30" spans="2:50" ht="28.2" customHeight="1" x14ac:dyDescent="0.3">
      <c r="P30" s="348"/>
      <c r="Q30" s="348"/>
      <c r="R30" s="348"/>
      <c r="S30" s="348"/>
      <c r="T30" s="348"/>
      <c r="U30" s="348"/>
      <c r="V30" s="379"/>
      <c r="W30" s="348"/>
      <c r="X30" s="348"/>
      <c r="Y30" s="348"/>
      <c r="Z30" s="348"/>
      <c r="AA30" s="348"/>
      <c r="AB30" s="348"/>
      <c r="AC30" s="348"/>
      <c r="AD30" s="348"/>
      <c r="AE30" s="348"/>
      <c r="AF30" s="348"/>
      <c r="AG30" s="348"/>
      <c r="AH30" s="348"/>
      <c r="AI30" s="348"/>
      <c r="AJ30" s="348"/>
      <c r="AK30" s="348"/>
      <c r="AL30" s="348"/>
      <c r="AM30" s="348"/>
      <c r="AN30" s="348"/>
      <c r="AO30" s="348"/>
      <c r="AP30" s="348"/>
      <c r="AQ30" s="348"/>
      <c r="AR30" s="348"/>
      <c r="AS30" s="348"/>
      <c r="AT30" s="367"/>
      <c r="AU30" s="348"/>
      <c r="AW30" s="348"/>
    </row>
    <row r="31" spans="2:50" ht="28.2" customHeight="1" x14ac:dyDescent="0.3">
      <c r="P31" s="348"/>
      <c r="Q31" s="348"/>
      <c r="R31" s="348"/>
      <c r="S31" s="348"/>
      <c r="T31" s="348"/>
      <c r="U31" s="348"/>
      <c r="V31" s="379"/>
      <c r="W31" s="348"/>
      <c r="X31" s="348"/>
      <c r="Y31" s="348"/>
      <c r="Z31" s="348"/>
      <c r="AA31" s="348"/>
      <c r="AB31" s="348"/>
      <c r="AC31" s="348"/>
      <c r="AD31" s="348"/>
      <c r="AE31" s="348"/>
      <c r="AF31" s="348"/>
      <c r="AG31" s="348"/>
      <c r="AH31" s="348"/>
      <c r="AI31" s="348"/>
      <c r="AJ31" s="348"/>
      <c r="AK31" s="348"/>
      <c r="AL31" s="348"/>
      <c r="AM31" s="348"/>
      <c r="AN31" s="348"/>
      <c r="AO31" s="348"/>
      <c r="AP31" s="348"/>
      <c r="AQ31" s="348"/>
      <c r="AR31" s="348"/>
      <c r="AS31" s="348"/>
      <c r="AT31" s="367"/>
      <c r="AU31" s="348"/>
      <c r="AW31" s="348"/>
    </row>
    <row r="88" spans="37:37" ht="28.2" customHeight="1" x14ac:dyDescent="0.3">
      <c r="AK88" s="344" t="s">
        <v>171</v>
      </c>
    </row>
    <row r="90" spans="37:37" ht="28.2" customHeight="1" x14ac:dyDescent="0.3">
      <c r="AK90" s="344" t="s">
        <v>172</v>
      </c>
    </row>
    <row r="92" spans="37:37" ht="28.2" customHeight="1" x14ac:dyDescent="0.3">
      <c r="AK92" s="344" t="s">
        <v>173</v>
      </c>
    </row>
    <row r="94" spans="37:37" ht="28.2" customHeight="1" x14ac:dyDescent="0.3">
      <c r="AK94" s="344" t="s">
        <v>174</v>
      </c>
    </row>
    <row r="96" spans="37:37" ht="28.2" customHeight="1" x14ac:dyDescent="0.3">
      <c r="AK96" s="344" t="s">
        <v>175</v>
      </c>
    </row>
  </sheetData>
  <autoFilter ref="A5:AV17" xr:uid="{AFE11B3C-7E9E-496D-8FAB-27D2003AA737}"/>
  <sortState xmlns:xlrd2="http://schemas.microsoft.com/office/spreadsheetml/2017/richdata2" ref="A7:AX10">
    <sortCondition descending="1" ref="P7:P10"/>
    <sortCondition ref="K7:K10"/>
    <sortCondition ref="J7:J10"/>
  </sortState>
  <conditionalFormatting sqref="C2">
    <cfRule type="duplicateValues" dxfId="13" priority="1"/>
  </conditionalFormatting>
  <conditionalFormatting sqref="C1:F1 C6:F6 C5 C9:F1048576 C3:F4 D2:F2">
    <cfRule type="duplicateValues" dxfId="12" priority="5"/>
  </conditionalFormatting>
  <conditionalFormatting sqref="D9:D18">
    <cfRule type="cellIs" dxfId="11" priority="3" operator="equal">
      <formula>0</formula>
    </cfRule>
  </conditionalFormatting>
  <conditionalFormatting sqref="D7:F8">
    <cfRule type="cellIs" dxfId="10" priority="2" stopIfTrue="1" operator="equal">
      <formula>0</formula>
    </cfRule>
  </conditionalFormatting>
  <conditionalFormatting sqref="G2">
    <cfRule type="duplicateValues" dxfId="9" priority="4"/>
  </conditionalFormatting>
  <pageMargins left="0.21" right="0.25" top="0.46" bottom="0.17" header="0.31" footer="0.17"/>
  <pageSetup scale="31" orientation="landscape" r:id="rId1"/>
  <headerFooter>
    <oddHeader>&amp;RDESIGN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2B3A3-84C9-49BE-95A6-AAF8263506DA}">
  <sheetPr codeName="Sheet3">
    <tabColor rgb="FF92D050"/>
    <pageSetUpPr fitToPage="1"/>
  </sheetPr>
  <dimension ref="A1:AY76"/>
  <sheetViews>
    <sheetView view="pageBreakPreview" zoomScale="55" zoomScaleNormal="70" zoomScaleSheetLayoutView="55" workbookViewId="0">
      <pane xSplit="14" ySplit="5" topLeftCell="O21" activePane="bottomRight" state="frozen"/>
      <selection activeCell="V84" sqref="V84"/>
      <selection pane="topRight" activeCell="V84" sqref="V84"/>
      <selection pane="bottomLeft" activeCell="V84" sqref="V84"/>
      <selection pane="bottomRight" activeCell="AY6" sqref="AY6"/>
    </sheetView>
  </sheetViews>
  <sheetFormatPr defaultColWidth="9.109375" defaultRowHeight="28.2" customHeight="1" x14ac:dyDescent="0.3"/>
  <cols>
    <col min="1" max="1" width="4.6640625" style="388" customWidth="1"/>
    <col min="2" max="2" width="6.6640625" style="388" customWidth="1"/>
    <col min="3" max="3" width="9" style="389" customWidth="1"/>
    <col min="4" max="4" width="14.5546875" style="389" customWidth="1"/>
    <col min="5" max="6" width="13.33203125" style="389" customWidth="1"/>
    <col min="7" max="7" width="14.5546875" style="399" customWidth="1"/>
    <col min="8" max="8" width="12.44140625" style="389" customWidth="1"/>
    <col min="9" max="9" width="28.109375" style="388" bestFit="1" customWidth="1"/>
    <col min="10" max="10" width="18.6640625" style="388" bestFit="1" customWidth="1"/>
    <col min="11" max="11" width="28.88671875" style="390" bestFit="1" customWidth="1"/>
    <col min="12" max="12" width="20.109375" style="388" customWidth="1"/>
    <col min="13" max="13" width="8.33203125" style="389" customWidth="1"/>
    <col min="14" max="14" width="10.88671875" style="389" customWidth="1"/>
    <col min="15" max="15" width="9.88671875" style="389" customWidth="1"/>
    <col min="16" max="16" width="16.44140625" style="393" bestFit="1" customWidth="1"/>
    <col min="17" max="20" width="13.33203125" style="393" hidden="1" customWidth="1"/>
    <col min="21" max="21" width="16.44140625" style="393" bestFit="1" customWidth="1"/>
    <col min="22" max="22" width="14.5546875" style="394" hidden="1" customWidth="1"/>
    <col min="23" max="23" width="14.33203125" style="393" customWidth="1"/>
    <col min="24" max="24" width="16.6640625" style="393" customWidth="1"/>
    <col min="25" max="25" width="15" style="393" customWidth="1"/>
    <col min="26" max="26" width="16.77734375" style="393" bestFit="1" customWidth="1"/>
    <col min="27" max="27" width="13" style="393" hidden="1" customWidth="1"/>
    <col min="28" max="28" width="16.109375" style="393" bestFit="1" customWidth="1"/>
    <col min="29" max="29" width="13.77734375" style="393" bestFit="1" customWidth="1"/>
    <col min="30" max="30" width="16.44140625" style="393" bestFit="1" customWidth="1"/>
    <col min="31" max="31" width="12.21875" style="393" bestFit="1" customWidth="1"/>
    <col min="32" max="32" width="11.5546875" style="393" bestFit="1" customWidth="1"/>
    <col min="33" max="33" width="13.88671875" style="393" bestFit="1" customWidth="1"/>
    <col min="34" max="34" width="11.88671875" style="393" customWidth="1"/>
    <col min="35" max="35" width="16.44140625" style="393" bestFit="1" customWidth="1"/>
    <col min="36" max="36" width="23" style="393" hidden="1" customWidth="1"/>
    <col min="37" max="37" width="29" style="393" hidden="1" customWidth="1"/>
    <col min="38" max="38" width="18.6640625" style="393" hidden="1" customWidth="1"/>
    <col min="39" max="39" width="22.33203125" style="393" hidden="1" customWidth="1"/>
    <col min="40" max="40" width="16.44140625" style="393" bestFit="1" customWidth="1"/>
    <col min="41" max="41" width="12.33203125" style="393" hidden="1" customWidth="1"/>
    <col min="42" max="42" width="13.109375" style="393" hidden="1" customWidth="1"/>
    <col min="43" max="43" width="13.88671875" style="393" bestFit="1" customWidth="1"/>
    <col min="44" max="44" width="10.6640625" style="393" hidden="1" customWidth="1"/>
    <col min="45" max="45" width="16.44140625" style="393" bestFit="1" customWidth="1"/>
    <col min="46" max="46" width="13.88671875" style="393" bestFit="1" customWidth="1"/>
    <col min="47" max="47" width="16.44140625" style="393" bestFit="1" customWidth="1"/>
    <col min="48" max="48" width="9.109375" style="388" hidden="1" customWidth="1"/>
    <col min="49" max="49" width="1.6640625" style="388" customWidth="1"/>
    <col min="50" max="50" width="12.109375" style="388" bestFit="1" customWidth="1"/>
    <col min="51" max="51" width="16.44140625" style="388" bestFit="1" customWidth="1"/>
    <col min="52" max="16384" width="9.109375" style="388"/>
  </cols>
  <sheetData>
    <row r="1" spans="1:51" ht="28.2" customHeight="1" x14ac:dyDescent="0.3">
      <c r="A1" s="387" t="s">
        <v>152</v>
      </c>
      <c r="H1" s="388"/>
      <c r="I1" s="391"/>
      <c r="J1" s="392"/>
      <c r="K1" s="392"/>
      <c r="L1" s="392"/>
      <c r="O1" s="389" t="s">
        <v>192</v>
      </c>
      <c r="Q1" s="388" t="s">
        <v>192</v>
      </c>
      <c r="R1" s="388" t="s">
        <v>192</v>
      </c>
      <c r="S1" s="388" t="s">
        <v>192</v>
      </c>
      <c r="T1" s="388" t="s">
        <v>192</v>
      </c>
      <c r="AA1" s="388" t="s">
        <v>192</v>
      </c>
      <c r="AB1" s="388" t="s">
        <v>192</v>
      </c>
      <c r="AC1" s="388" t="s">
        <v>192</v>
      </c>
      <c r="AE1" s="395"/>
    </row>
    <row r="2" spans="1:51" ht="28.2" customHeight="1" x14ac:dyDescent="0.3">
      <c r="A2" s="387" t="s">
        <v>0</v>
      </c>
      <c r="C2" s="396" t="s">
        <v>576</v>
      </c>
      <c r="D2" s="396"/>
      <c r="E2" s="396"/>
      <c r="F2" s="396"/>
      <c r="G2" s="397">
        <v>2024</v>
      </c>
      <c r="H2" s="396"/>
      <c r="I2" s="387"/>
      <c r="AD2" s="395" t="e">
        <f>#REF!-#REF!</f>
        <v>#REF!</v>
      </c>
    </row>
    <row r="3" spans="1:51" ht="28.2" customHeight="1" x14ac:dyDescent="0.3">
      <c r="A3" s="760"/>
      <c r="B3" s="760"/>
      <c r="Z3" s="395"/>
    </row>
    <row r="4" spans="1:51" ht="28.2" customHeight="1" x14ac:dyDescent="0.3">
      <c r="G4" s="399">
        <v>2</v>
      </c>
      <c r="H4" s="389">
        <v>3</v>
      </c>
      <c r="I4" s="389">
        <v>4</v>
      </c>
      <c r="J4" s="389">
        <v>5</v>
      </c>
      <c r="K4" s="399">
        <v>6</v>
      </c>
      <c r="L4" s="389">
        <v>7</v>
      </c>
      <c r="M4" s="389">
        <v>8</v>
      </c>
      <c r="N4" s="389">
        <v>9</v>
      </c>
      <c r="O4" s="389">
        <v>10</v>
      </c>
      <c r="P4" s="389">
        <v>11</v>
      </c>
      <c r="Q4" s="389">
        <v>12</v>
      </c>
      <c r="R4" s="389">
        <v>13</v>
      </c>
      <c r="S4" s="389">
        <v>14</v>
      </c>
      <c r="T4" s="389">
        <v>15</v>
      </c>
      <c r="U4" s="389">
        <v>16</v>
      </c>
      <c r="V4" s="389">
        <v>17</v>
      </c>
      <c r="W4" s="389">
        <v>18</v>
      </c>
      <c r="X4" s="389">
        <v>19</v>
      </c>
      <c r="Y4" s="389">
        <v>20</v>
      </c>
      <c r="Z4" s="389">
        <v>21</v>
      </c>
      <c r="AA4" s="389">
        <v>22</v>
      </c>
      <c r="AB4" s="389">
        <v>23</v>
      </c>
      <c r="AC4" s="389">
        <v>24</v>
      </c>
      <c r="AD4" s="389">
        <v>25</v>
      </c>
      <c r="AE4" s="389">
        <v>26</v>
      </c>
      <c r="AF4" s="389">
        <v>27</v>
      </c>
      <c r="AG4" s="389">
        <v>28</v>
      </c>
      <c r="AH4" s="389">
        <v>29</v>
      </c>
      <c r="AI4" s="389">
        <v>30</v>
      </c>
      <c r="AJ4" s="389">
        <v>31</v>
      </c>
      <c r="AK4" s="389">
        <v>32</v>
      </c>
      <c r="AL4" s="389">
        <v>33</v>
      </c>
      <c r="AM4" s="389">
        <v>34</v>
      </c>
      <c r="AN4" s="389">
        <v>35</v>
      </c>
      <c r="AO4" s="389">
        <v>36</v>
      </c>
      <c r="AP4" s="389">
        <v>37</v>
      </c>
      <c r="AQ4" s="389">
        <v>38</v>
      </c>
      <c r="AR4" s="389">
        <v>39</v>
      </c>
      <c r="AS4" s="389">
        <v>40</v>
      </c>
      <c r="AT4" s="393">
        <v>41</v>
      </c>
      <c r="AU4" s="389">
        <v>42</v>
      </c>
    </row>
    <row r="5" spans="1:51" s="397" customFormat="1" ht="81.599999999999994" x14ac:dyDescent="0.3">
      <c r="B5" s="400" t="s">
        <v>1</v>
      </c>
      <c r="C5" s="400" t="s">
        <v>2</v>
      </c>
      <c r="D5" s="400" t="s">
        <v>553</v>
      </c>
      <c r="E5" s="400" t="s">
        <v>554</v>
      </c>
      <c r="F5" s="400" t="s">
        <v>555</v>
      </c>
      <c r="G5" s="400" t="s">
        <v>83</v>
      </c>
      <c r="H5" s="400" t="s">
        <v>68</v>
      </c>
      <c r="I5" s="400" t="s">
        <v>3</v>
      </c>
      <c r="J5" s="401" t="s">
        <v>4</v>
      </c>
      <c r="K5" s="401" t="s">
        <v>5</v>
      </c>
      <c r="L5" s="401" t="s">
        <v>439</v>
      </c>
      <c r="M5" s="401" t="s">
        <v>66</v>
      </c>
      <c r="N5" s="401" t="s">
        <v>58</v>
      </c>
      <c r="O5" s="400" t="s">
        <v>6</v>
      </c>
      <c r="P5" s="402" t="s">
        <v>7</v>
      </c>
      <c r="Q5" s="402" t="s">
        <v>8</v>
      </c>
      <c r="R5" s="402" t="s">
        <v>9</v>
      </c>
      <c r="S5" s="402" t="s">
        <v>10</v>
      </c>
      <c r="T5" s="402" t="s">
        <v>11</v>
      </c>
      <c r="U5" s="402" t="s">
        <v>12</v>
      </c>
      <c r="V5" s="402" t="s">
        <v>13</v>
      </c>
      <c r="W5" s="402" t="s">
        <v>14</v>
      </c>
      <c r="X5" s="402" t="s">
        <v>15</v>
      </c>
      <c r="Y5" s="402" t="s">
        <v>67</v>
      </c>
      <c r="Z5" s="402" t="s">
        <v>16</v>
      </c>
      <c r="AA5" s="402" t="s">
        <v>70</v>
      </c>
      <c r="AB5" s="402" t="s">
        <v>17</v>
      </c>
      <c r="AC5" s="402" t="s">
        <v>18</v>
      </c>
      <c r="AD5" s="402" t="s">
        <v>19</v>
      </c>
      <c r="AE5" s="402" t="s">
        <v>20</v>
      </c>
      <c r="AF5" s="402" t="s">
        <v>73</v>
      </c>
      <c r="AG5" s="402" t="s">
        <v>21</v>
      </c>
      <c r="AH5" s="402" t="s">
        <v>22</v>
      </c>
      <c r="AI5" s="403" t="s">
        <v>23</v>
      </c>
      <c r="AJ5" s="402" t="s">
        <v>24</v>
      </c>
      <c r="AK5" s="402" t="s">
        <v>25</v>
      </c>
      <c r="AL5" s="404" t="s">
        <v>109</v>
      </c>
      <c r="AM5" s="402" t="s">
        <v>111</v>
      </c>
      <c r="AN5" s="402" t="s">
        <v>112</v>
      </c>
      <c r="AO5" s="402" t="s">
        <v>113</v>
      </c>
      <c r="AP5" s="402" t="s">
        <v>92</v>
      </c>
      <c r="AQ5" s="402" t="s">
        <v>93</v>
      </c>
      <c r="AR5" s="402" t="s">
        <v>26</v>
      </c>
      <c r="AS5" s="403" t="s">
        <v>196</v>
      </c>
      <c r="AT5" s="402" t="s">
        <v>27</v>
      </c>
      <c r="AU5" s="402" t="s">
        <v>94</v>
      </c>
      <c r="AX5" s="397" t="s">
        <v>271</v>
      </c>
      <c r="AY5" s="402" t="s">
        <v>273</v>
      </c>
    </row>
    <row r="6" spans="1:51" s="617" customFormat="1" ht="45" customHeight="1" x14ac:dyDescent="0.3">
      <c r="B6" s="618">
        <v>1</v>
      </c>
      <c r="C6" s="618">
        <v>174</v>
      </c>
      <c r="D6" s="630">
        <f>_xlfn.XLOOKUP(C6,Master[Emp Code],Master[date of last increment])</f>
        <v>43830</v>
      </c>
      <c r="E6" s="618">
        <f>_xlfn.XLOOKUP(C6,Master[Emp Code],Master[[last incremnet ]])</f>
        <v>10000</v>
      </c>
      <c r="F6" s="618">
        <f>_xlfn.XLOOKUP(C6,Master[Emp Code],Master['# Months Since Last Increment])</f>
        <v>4</v>
      </c>
      <c r="G6" s="630">
        <f>VLOOKUP($C6,Master!$F:$AU,G$4,FALSE)</f>
        <v>43277</v>
      </c>
      <c r="H6" s="618" t="str">
        <f>VLOOKUP($C6,Master!$F:$AU,H$4,FALSE)</f>
        <v>CT</v>
      </c>
      <c r="I6" s="620" t="str">
        <f>VLOOKUP($C6,Master!$F:$AU,I$4,FALSE)</f>
        <v>Sammad</v>
      </c>
      <c r="J6" s="620" t="str">
        <f>VLOOKUP($C6,Master!$F:$AU,J$4,FALSE)</f>
        <v>Data Analysis</v>
      </c>
      <c r="K6" s="621" t="str">
        <f>VLOOKUP($C6,Master!$F:$AU,K$4,FALSE)</f>
        <v>Trainee</v>
      </c>
      <c r="L6" s="620" t="str">
        <f>VLOOKUP($C6,Master!$F:$AU,L$4,FALSE)</f>
        <v>Azmeer</v>
      </c>
      <c r="M6" s="622" t="str">
        <f>VLOOKUP($C6,Master!$F:$AU,M$4,FALSE)</f>
        <v>HW</v>
      </c>
      <c r="N6" s="622" t="str">
        <f>VLOOKUP($C6,Master!$F:$AU,N$4,FALSE)</f>
        <v>ALL</v>
      </c>
      <c r="O6" s="618" t="str">
        <f>VLOOKUP($C6,Master!$F:$AU,O$4,FALSE)</f>
        <v>P</v>
      </c>
      <c r="P6" s="623">
        <f>VLOOKUP($C6,Master!$F:$AU,P$4,FALSE)</f>
        <v>35000</v>
      </c>
      <c r="Q6" s="623">
        <f>VLOOKUP($C6,Master!$F:$AU,Q$4,FALSE)</f>
        <v>21875</v>
      </c>
      <c r="R6" s="623">
        <f>VLOOKUP($C6,Master!$F:$AU,R$4,FALSE)</f>
        <v>8750</v>
      </c>
      <c r="S6" s="623">
        <f>VLOOKUP($C6,Master!$F:$AU,S$4,FALSE)</f>
        <v>2187.5</v>
      </c>
      <c r="T6" s="623">
        <f>VLOOKUP($C6,Master!$F:$AU,T$4,FALSE)</f>
        <v>2187.5</v>
      </c>
      <c r="U6" s="623">
        <f>VLOOKUP($C6,Master!$F:$AU,U$4,FALSE)</f>
        <v>35000</v>
      </c>
      <c r="V6" s="624">
        <f>VLOOKUP($C6,Master!$F:$AU,V$4,FALSE)</f>
        <v>0</v>
      </c>
      <c r="W6" s="623">
        <f>VLOOKUP($C6,Master!$F:$AU,W$4,FALSE)</f>
        <v>0</v>
      </c>
      <c r="X6" s="623">
        <f>VLOOKUP($C6,Master!$F:$AU,X$4,FALSE)</f>
        <v>0</v>
      </c>
      <c r="Y6" s="623">
        <f>VLOOKUP($C6,Master!$F:$AU,Y$4,FALSE)</f>
        <v>0</v>
      </c>
      <c r="Z6" s="623">
        <f>VLOOKUP($C6,Master!$F:$AU,Z$4,FALSE)</f>
        <v>0</v>
      </c>
      <c r="AA6" s="625">
        <f>VLOOKUP($C6,Master!$F:$AU,AA$4,FALSE)</f>
        <v>204.67836257309943</v>
      </c>
      <c r="AB6" s="625">
        <f>VLOOKUP($C6,Master!$F:$AU,AB$4,FALSE)</f>
        <v>0</v>
      </c>
      <c r="AC6" s="625">
        <f>VLOOKUP($C6,Master!$F:$AU,AC$4,FALSE)</f>
        <v>0</v>
      </c>
      <c r="AD6" s="623">
        <f>VLOOKUP($C6,Master!$F:$AU,AD$4,FALSE)</f>
        <v>35000</v>
      </c>
      <c r="AE6" s="623">
        <f>VLOOKUP($C6,Master!$F:$AU,AE$4,FALSE)</f>
        <v>0</v>
      </c>
      <c r="AF6" s="623">
        <f>VLOOKUP($C6,Master!$F:$AU,AF$4,FALSE)</f>
        <v>0</v>
      </c>
      <c r="AG6" s="623">
        <f>VLOOKUP($C6,Master!$F:$AU,AG$4,FALSE)</f>
        <v>0</v>
      </c>
      <c r="AH6" s="623">
        <f>VLOOKUP($C6,Master!$F:$AU,AH$4,FALSE)</f>
        <v>0</v>
      </c>
      <c r="AI6" s="626">
        <f>VLOOKUP($C6,Master!$F:$AU,AI$4,FALSE)</f>
        <v>35000</v>
      </c>
      <c r="AJ6" s="623" t="str">
        <f>VLOOKUP($C6,Master!$F:$AU,AJ$4,FALSE)</f>
        <v>Habib Bank Limited</v>
      </c>
      <c r="AK6" s="627" t="str">
        <f>VLOOKUP($C6,Master!$F:$AU,AK$4,FALSE)</f>
        <v>0017-79008732-03</v>
      </c>
      <c r="AL6" s="628" t="str">
        <f>VLOOKUP($C6,Master!$F:$AU,AL$4,FALSE)</f>
        <v>42201-2352763-3</v>
      </c>
      <c r="AM6" s="620" t="str">
        <f>VLOOKUP($C6,Master!$F:$AU,AM$4,FALSE)</f>
        <v>Samad Khan</v>
      </c>
      <c r="AN6" s="623">
        <f>VLOOKUP($C6,Master!$F:$AU,AN$4,FALSE)</f>
        <v>35000</v>
      </c>
      <c r="AO6" s="623">
        <f>VLOOKUP($C6,Master!$F:$AU,AO$4,FALSE)</f>
        <v>0</v>
      </c>
      <c r="AP6" s="623">
        <f>VLOOKUP($C6,Master!$F:$AU,AP$4,FALSE)</f>
        <v>0</v>
      </c>
      <c r="AQ6" s="623">
        <f>VLOOKUP($C6,Master!$F:$AU,AQ$4,FALSE)</f>
        <v>0</v>
      </c>
      <c r="AR6" s="623">
        <f>VLOOKUP($C6,Master!$F:$AU,AR$4,FALSE)</f>
        <v>0</v>
      </c>
      <c r="AS6" s="673">
        <f>VLOOKUP($C6,Master!$F:$AU,AS$4,FALSE)</f>
        <v>35000</v>
      </c>
      <c r="AT6" s="623">
        <f>VLOOKUP($C6,Master!$F:$AU,AT$4,FALSE)</f>
        <v>0</v>
      </c>
      <c r="AU6" s="623">
        <f>VLOOKUP($C6,Master!$F:$AU,AU$4,FALSE)</f>
        <v>35000</v>
      </c>
      <c r="AW6" s="629"/>
      <c r="AX6" s="631">
        <f>+Master!$K$1</f>
        <v>276</v>
      </c>
      <c r="AY6" s="632">
        <f t="shared" ref="AY6:AY22" si="0">+AD6/AX6</f>
        <v>126.81159420289855</v>
      </c>
    </row>
    <row r="7" spans="1:51" s="617" customFormat="1" ht="45" customHeight="1" x14ac:dyDescent="0.3">
      <c r="B7" s="618">
        <v>2</v>
      </c>
      <c r="C7" s="618">
        <v>173</v>
      </c>
      <c r="D7" s="630">
        <f>_xlfn.XLOOKUP(C7,Master[Emp Code],Master[date of last increment])</f>
        <v>43830</v>
      </c>
      <c r="E7" s="618">
        <f>_xlfn.XLOOKUP(C7,Master[Emp Code],Master[[last incremnet ]])</f>
        <v>10000</v>
      </c>
      <c r="F7" s="618">
        <f>_xlfn.XLOOKUP(C7,Master[Emp Code],Master['# Months Since Last Increment])</f>
        <v>4</v>
      </c>
      <c r="G7" s="630">
        <f>VLOOKUP($C7,Master!$F:$AU,G$4,FALSE)</f>
        <v>43270</v>
      </c>
      <c r="H7" s="618" t="str">
        <f>VLOOKUP($C7,Master!$F:$AU,H$4,FALSE)</f>
        <v>CT</v>
      </c>
      <c r="I7" s="620" t="str">
        <f>VLOOKUP($C7,Master!$F:$AU,I$4,FALSE)</f>
        <v>Mohammad Uzair</v>
      </c>
      <c r="J7" s="620" t="str">
        <f>VLOOKUP($C7,Master!$F:$AU,J$4,FALSE)</f>
        <v>Data Analysis</v>
      </c>
      <c r="K7" s="621" t="str">
        <f>VLOOKUP($C7,Master!$F:$AU,K$4,FALSE)</f>
        <v>Trainee</v>
      </c>
      <c r="L7" s="620" t="str">
        <f>VLOOKUP($C7,Master!$F:$AU,L$4,FALSE)</f>
        <v>Azmeer</v>
      </c>
      <c r="M7" s="622" t="str">
        <f>VLOOKUP($C7,Master!$F:$AU,M$4,FALSE)</f>
        <v>HW</v>
      </c>
      <c r="N7" s="622" t="str">
        <f>VLOOKUP($C7,Master!$F:$AU,N$4,FALSE)</f>
        <v>ALL</v>
      </c>
      <c r="O7" s="618" t="str">
        <f>VLOOKUP($C7,Master!$F:$AU,O$4,FALSE)</f>
        <v>P</v>
      </c>
      <c r="P7" s="623">
        <f>VLOOKUP($C7,Master!$F:$AU,P$4,FALSE)</f>
        <v>35000</v>
      </c>
      <c r="Q7" s="623">
        <f>VLOOKUP($C7,Master!$F:$AU,Q$4,FALSE)</f>
        <v>21875</v>
      </c>
      <c r="R7" s="623">
        <f>VLOOKUP($C7,Master!$F:$AU,R$4,FALSE)</f>
        <v>8750</v>
      </c>
      <c r="S7" s="623">
        <f>VLOOKUP($C7,Master!$F:$AU,S$4,FALSE)</f>
        <v>2187.5</v>
      </c>
      <c r="T7" s="623">
        <f>VLOOKUP($C7,Master!$F:$AU,T$4,FALSE)</f>
        <v>2187.5</v>
      </c>
      <c r="U7" s="623">
        <f>VLOOKUP($C7,Master!$F:$AU,U$4,FALSE)</f>
        <v>35000</v>
      </c>
      <c r="V7" s="624">
        <f>VLOOKUP($C7,Master!$F:$AU,V$4,FALSE)</f>
        <v>0</v>
      </c>
      <c r="W7" s="623">
        <f>VLOOKUP($C7,Master!$F:$AU,W$4,FALSE)</f>
        <v>0</v>
      </c>
      <c r="X7" s="623">
        <f>VLOOKUP($C7,Master!$F:$AU,X$4,FALSE)</f>
        <v>0</v>
      </c>
      <c r="Y7" s="623">
        <f>VLOOKUP($C7,Master!$F:$AU,Y$4,FALSE)</f>
        <v>0</v>
      </c>
      <c r="Z7" s="623">
        <f>VLOOKUP($C7,Master!$F:$AU,Z$4,FALSE)</f>
        <v>0</v>
      </c>
      <c r="AA7" s="625">
        <f>VLOOKUP($C7,Master!$F:$AU,AA$4,FALSE)</f>
        <v>204.67836257309943</v>
      </c>
      <c r="AB7" s="625">
        <f>VLOOKUP($C7,Master!$F:$AU,AB$4,FALSE)</f>
        <v>0</v>
      </c>
      <c r="AC7" s="625">
        <f>VLOOKUP($C7,Master!$F:$AU,AC$4,FALSE)</f>
        <v>0</v>
      </c>
      <c r="AD7" s="623">
        <f>VLOOKUP($C7,Master!$F:$AU,AD$4,FALSE)</f>
        <v>35000</v>
      </c>
      <c r="AE7" s="623">
        <f>VLOOKUP($C7,Master!$F:$AU,AE$4,FALSE)</f>
        <v>0</v>
      </c>
      <c r="AF7" s="623">
        <f>VLOOKUP($C7,Master!$F:$AU,AF$4,FALSE)</f>
        <v>0</v>
      </c>
      <c r="AG7" s="623">
        <f>VLOOKUP($C7,Master!$F:$AU,AG$4,FALSE)</f>
        <v>0</v>
      </c>
      <c r="AH7" s="623">
        <f>VLOOKUP($C7,Master!$F:$AU,AH$4,FALSE)</f>
        <v>0</v>
      </c>
      <c r="AI7" s="626">
        <f>VLOOKUP($C7,Master!$F:$AU,AI$4,FALSE)</f>
        <v>35000</v>
      </c>
      <c r="AJ7" s="623" t="str">
        <f>VLOOKUP($C7,Master!$F:$AU,AJ$4,FALSE)</f>
        <v>Habib Bank Limited</v>
      </c>
      <c r="AK7" s="627" t="str">
        <f>VLOOKUP($C7,Master!$F:$AU,AK$4,FALSE)</f>
        <v>0017-79009071-03</v>
      </c>
      <c r="AL7" s="628" t="str">
        <f>VLOOKUP($C7,Master!$F:$AU,AL$4,FALSE)</f>
        <v>42201-0578753-5</v>
      </c>
      <c r="AM7" s="620" t="str">
        <f>VLOOKUP($C7,Master!$F:$AU,AM$4,FALSE)</f>
        <v>JAHANGIR HUSSAIN</v>
      </c>
      <c r="AN7" s="623">
        <f>VLOOKUP($C7,Master!$F:$AU,AN$4,FALSE)</f>
        <v>35000</v>
      </c>
      <c r="AO7" s="623">
        <f>VLOOKUP($C7,Master!$F:$AU,AO$4,FALSE)</f>
        <v>0</v>
      </c>
      <c r="AP7" s="623">
        <f>VLOOKUP($C7,Master!$F:$AU,AP$4,FALSE)</f>
        <v>0</v>
      </c>
      <c r="AQ7" s="623">
        <f>VLOOKUP($C7,Master!$F:$AU,AQ$4,FALSE)</f>
        <v>0</v>
      </c>
      <c r="AR7" s="623">
        <f>VLOOKUP($C7,Master!$F:$AU,AR$4,FALSE)</f>
        <v>0</v>
      </c>
      <c r="AS7" s="673">
        <f>VLOOKUP($C7,Master!$F:$AU,AS$4,FALSE)</f>
        <v>35000</v>
      </c>
      <c r="AT7" s="623">
        <f>VLOOKUP($C7,Master!$F:$AU,AT$4,FALSE)</f>
        <v>0</v>
      </c>
      <c r="AU7" s="623">
        <f>VLOOKUP($C7,Master!$F:$AU,AU$4,FALSE)</f>
        <v>35000</v>
      </c>
      <c r="AW7" s="629"/>
      <c r="AX7" s="631">
        <f>+Master!$K$1</f>
        <v>276</v>
      </c>
      <c r="AY7" s="632">
        <f t="shared" si="0"/>
        <v>126.81159420289855</v>
      </c>
    </row>
    <row r="8" spans="1:51" s="617" customFormat="1" ht="45" customHeight="1" x14ac:dyDescent="0.3">
      <c r="B8" s="618">
        <v>3</v>
      </c>
      <c r="C8" s="618">
        <v>147</v>
      </c>
      <c r="D8" s="630">
        <f>_xlfn.XLOOKUP(C8,Master[Emp Code],Master[date of last increment])</f>
        <v>43830</v>
      </c>
      <c r="E8" s="618">
        <f>_xlfn.XLOOKUP(C8,Master[Emp Code],Master[[last incremnet ]])</f>
        <v>10000</v>
      </c>
      <c r="F8" s="618">
        <f>_xlfn.XLOOKUP(C8,Master[Emp Code],Master['# Months Since Last Increment])</f>
        <v>4</v>
      </c>
      <c r="G8" s="630">
        <f>VLOOKUP($C8,Master!$F:$AU,G$4,FALSE)</f>
        <v>43186</v>
      </c>
      <c r="H8" s="618" t="str">
        <f>VLOOKUP($C8,Master!$F:$AU,H$4,FALSE)</f>
        <v>CT</v>
      </c>
      <c r="I8" s="620" t="str">
        <f>VLOOKUP($C8,Master!$F:$AU,I$4,FALSE)</f>
        <v>Shahbaz Khan</v>
      </c>
      <c r="J8" s="620" t="str">
        <f>VLOOKUP($C8,Master!$F:$AU,J$4,FALSE)</f>
        <v>Data Analysis</v>
      </c>
      <c r="K8" s="621" t="str">
        <f>VLOOKUP($C8,Master!$F:$AU,K$4,FALSE)</f>
        <v>Trainee</v>
      </c>
      <c r="L8" s="620" t="str">
        <f>VLOOKUP($C8,Master!$F:$AU,L$4,FALSE)</f>
        <v>Azmeer</v>
      </c>
      <c r="M8" s="622" t="str">
        <f>VLOOKUP($C8,Master!$F:$AU,M$4,FALSE)</f>
        <v>HW</v>
      </c>
      <c r="N8" s="622" t="str">
        <f>VLOOKUP($C8,Master!$F:$AU,N$4,FALSE)</f>
        <v>ALL</v>
      </c>
      <c r="O8" s="618" t="str">
        <f>VLOOKUP($C8,Master!$F:$AU,O$4,FALSE)</f>
        <v>P</v>
      </c>
      <c r="P8" s="623">
        <f>VLOOKUP($C8,Master!$F:$AU,P$4,FALSE)</f>
        <v>35000</v>
      </c>
      <c r="Q8" s="623">
        <f>VLOOKUP($C8,Master!$F:$AU,Q$4,FALSE)</f>
        <v>21875</v>
      </c>
      <c r="R8" s="623">
        <f>VLOOKUP($C8,Master!$F:$AU,R$4,FALSE)</f>
        <v>8750</v>
      </c>
      <c r="S8" s="623">
        <f>VLOOKUP($C8,Master!$F:$AU,S$4,FALSE)</f>
        <v>2187.5</v>
      </c>
      <c r="T8" s="623">
        <f>VLOOKUP($C8,Master!$F:$AU,T$4,FALSE)</f>
        <v>2187.5</v>
      </c>
      <c r="U8" s="623">
        <f>VLOOKUP($C8,Master!$F:$AU,U$4,FALSE)</f>
        <v>35000</v>
      </c>
      <c r="V8" s="624">
        <f>VLOOKUP($C8,Master!$F:$AU,V$4,FALSE)</f>
        <v>0</v>
      </c>
      <c r="W8" s="623">
        <f>VLOOKUP($C8,Master!$F:$AU,W$4,FALSE)</f>
        <v>0</v>
      </c>
      <c r="X8" s="623">
        <f>VLOOKUP($C8,Master!$F:$AU,X$4,FALSE)</f>
        <v>0</v>
      </c>
      <c r="Y8" s="623">
        <f>VLOOKUP($C8,Master!$F:$AU,Y$4,FALSE)</f>
        <v>4</v>
      </c>
      <c r="Z8" s="623">
        <f>VLOOKUP($C8,Master!$F:$AU,Z$4,FALSE)</f>
        <v>7368.4210526315792</v>
      </c>
      <c r="AA8" s="625">
        <f>VLOOKUP($C8,Master!$F:$AU,AA$4,FALSE)</f>
        <v>204.67836257309943</v>
      </c>
      <c r="AB8" s="625">
        <f>VLOOKUP($C8,Master!$F:$AU,AB$4,FALSE)</f>
        <v>0</v>
      </c>
      <c r="AC8" s="625">
        <f>VLOOKUP($C8,Master!$F:$AU,AC$4,FALSE)</f>
        <v>0</v>
      </c>
      <c r="AD8" s="623">
        <f>VLOOKUP($C8,Master!$F:$AU,AD$4,FALSE)</f>
        <v>27631.57894736842</v>
      </c>
      <c r="AE8" s="623">
        <f>VLOOKUP($C8,Master!$F:$AU,AE$4,FALSE)</f>
        <v>0</v>
      </c>
      <c r="AF8" s="623">
        <f>VLOOKUP($C8,Master!$F:$AU,AF$4,FALSE)</f>
        <v>0</v>
      </c>
      <c r="AG8" s="623">
        <f>VLOOKUP($C8,Master!$F:$AU,AG$4,FALSE)</f>
        <v>0</v>
      </c>
      <c r="AH8" s="623">
        <f>VLOOKUP($C8,Master!$F:$AU,AH$4,FALSE)</f>
        <v>0</v>
      </c>
      <c r="AI8" s="626">
        <f>VLOOKUP($C8,Master!$F:$AU,AI$4,FALSE)</f>
        <v>27631.57894736842</v>
      </c>
      <c r="AJ8" s="623" t="str">
        <f>VLOOKUP($C8,Master!$F:$AU,AJ$4,FALSE)</f>
        <v>Meezan Bank Limited</v>
      </c>
      <c r="AK8" s="627" t="str">
        <f>VLOOKUP($C8,Master!$F:$AU,AK$4,FALSE)</f>
        <v>01750100943393</v>
      </c>
      <c r="AL8" s="628" t="str">
        <f>VLOOKUP($C8,Master!$F:$AU,AL$4,FALSE)</f>
        <v>42201-3746106-1</v>
      </c>
      <c r="AM8" s="620" t="str">
        <f>VLOOKUP($C8,Master!$F:$AU,AM$4,FALSE)</f>
        <v>Ali Osama</v>
      </c>
      <c r="AN8" s="623">
        <f>VLOOKUP($C8,Master!$F:$AU,AN$4,FALSE)</f>
        <v>0</v>
      </c>
      <c r="AO8" s="623">
        <f>VLOOKUP($C8,Master!$F:$AU,AO$4,FALSE)</f>
        <v>0</v>
      </c>
      <c r="AP8" s="623">
        <f>VLOOKUP($C8,Master!$F:$AU,AP$4,FALSE)</f>
        <v>0</v>
      </c>
      <c r="AQ8" s="623">
        <f>VLOOKUP($C8,Master!$F:$AU,AQ$4,FALSE)</f>
        <v>0</v>
      </c>
      <c r="AR8" s="623">
        <f>VLOOKUP($C8,Master!$F:$AU,AR$4,FALSE)</f>
        <v>27631.57894736842</v>
      </c>
      <c r="AS8" s="673">
        <f>VLOOKUP($C8,Master!$F:$AU,AS$4,FALSE)</f>
        <v>27631.57894736842</v>
      </c>
      <c r="AT8" s="623">
        <f>VLOOKUP($C8,Master!$F:$AU,AT$4,FALSE)</f>
        <v>0</v>
      </c>
      <c r="AU8" s="623">
        <f>VLOOKUP($C8,Master!$F:$AU,AU$4,FALSE)</f>
        <v>27631.57894736842</v>
      </c>
      <c r="AW8" s="629"/>
      <c r="AX8" s="631">
        <f>+Master!$K$1</f>
        <v>276</v>
      </c>
      <c r="AY8" s="632">
        <f t="shared" si="0"/>
        <v>100.11441647597253</v>
      </c>
    </row>
    <row r="9" spans="1:51" s="617" customFormat="1" ht="45" customHeight="1" x14ac:dyDescent="0.3">
      <c r="B9" s="618">
        <v>4</v>
      </c>
      <c r="C9" s="618">
        <v>191</v>
      </c>
      <c r="D9" s="630">
        <f>_xlfn.XLOOKUP(C9,Master[Emp Code],Master[date of last increment])</f>
        <v>0</v>
      </c>
      <c r="E9" s="618">
        <f>_xlfn.XLOOKUP(C9,Master[Emp Code],Master[[last incremnet ]])</f>
        <v>0</v>
      </c>
      <c r="F9" s="618">
        <f>_xlfn.XLOOKUP(C9,Master[Emp Code],Master['# Months Since Last Increment])</f>
        <v>0</v>
      </c>
      <c r="G9" s="630">
        <f>VLOOKUP($C9,Master!$F:$AU,G$4,FALSE)</f>
        <v>43788</v>
      </c>
      <c r="H9" s="618" t="str">
        <f>VLOOKUP($C9,Master!$F:$AU,H$4,FALSE)</f>
        <v>NJ</v>
      </c>
      <c r="I9" s="620" t="str">
        <f>VLOOKUP($C9,Master!$F:$AU,I$4,FALSE)</f>
        <v>Usman</v>
      </c>
      <c r="J9" s="620" t="str">
        <f>VLOOKUP($C9,Master!$F:$AU,J$4,FALSE)</f>
        <v>Data Analysis</v>
      </c>
      <c r="K9" s="621" t="s">
        <v>60</v>
      </c>
      <c r="L9" s="620" t="s">
        <v>141</v>
      </c>
      <c r="M9" s="622" t="s">
        <v>57</v>
      </c>
      <c r="N9" s="622" t="s">
        <v>59</v>
      </c>
      <c r="O9" s="618" t="str">
        <f>VLOOKUP($C9,Master!$F:$AU,O$4,FALSE)</f>
        <v>NP</v>
      </c>
      <c r="P9" s="623">
        <f>VLOOKUP($C9,Master!$F:$AU,P$4,FALSE)</f>
        <v>15000</v>
      </c>
      <c r="Q9" s="623">
        <f>VLOOKUP($C9,Master!$F:$AU,Q$4,FALSE)</f>
        <v>9375</v>
      </c>
      <c r="R9" s="623">
        <f>VLOOKUP($C9,Master!$F:$AU,R$4,FALSE)</f>
        <v>3750</v>
      </c>
      <c r="S9" s="623">
        <f>VLOOKUP($C9,Master!$F:$AU,S$4,FALSE)</f>
        <v>937.5</v>
      </c>
      <c r="T9" s="623">
        <f>VLOOKUP($C9,Master!$F:$AU,T$4,FALSE)</f>
        <v>937.5</v>
      </c>
      <c r="U9" s="623">
        <f>VLOOKUP($C9,Master!$F:$AU,U$4,FALSE)</f>
        <v>15000</v>
      </c>
      <c r="V9" s="624">
        <f>VLOOKUP($C9,Master!$F:$AU,V$4,FALSE)</f>
        <v>0</v>
      </c>
      <c r="W9" s="623">
        <f>VLOOKUP($C9,Master!$F:$AU,W$4,FALSE)</f>
        <v>0</v>
      </c>
      <c r="X9" s="623">
        <f>VLOOKUP($C9,Master!$F:$AU,X$4,FALSE)</f>
        <v>0</v>
      </c>
      <c r="Y9" s="623">
        <f>VLOOKUP($C9,Master!$F:$AU,Y$4,FALSE)</f>
        <v>14</v>
      </c>
      <c r="Z9" s="623">
        <f>VLOOKUP($C9,Master!$F:$AU,Z$4,FALSE)</f>
        <v>11052.631578947368</v>
      </c>
      <c r="AA9" s="625">
        <f>VLOOKUP($C9,Master!$F:$AU,AA$4,FALSE)</f>
        <v>87.719298245614041</v>
      </c>
      <c r="AB9" s="625">
        <f>VLOOKUP($C9,Master!$F:$AU,AB$4,FALSE)</f>
        <v>0</v>
      </c>
      <c r="AC9" s="625">
        <f>VLOOKUP($C9,Master!$F:$AU,AC$4,FALSE)</f>
        <v>0</v>
      </c>
      <c r="AD9" s="623">
        <f>VLOOKUP($C9,Master!$F:$AU,AD$4,FALSE)</f>
        <v>3947.3684210526317</v>
      </c>
      <c r="AE9" s="623">
        <f>VLOOKUP($C9,Master!$F:$AU,AE$4,FALSE)</f>
        <v>0</v>
      </c>
      <c r="AF9" s="623">
        <f>VLOOKUP($C9,Master!$F:$AU,AF$4,FALSE)</f>
        <v>0</v>
      </c>
      <c r="AG9" s="623">
        <f>VLOOKUP($C9,Master!$F:$AU,AG$4,FALSE)</f>
        <v>0</v>
      </c>
      <c r="AH9" s="623">
        <f>VLOOKUP($C9,Master!$F:$AU,AH$4,FALSE)</f>
        <v>0</v>
      </c>
      <c r="AI9" s="626">
        <f>VLOOKUP($C9,Master!$F:$AU,AI$4,FALSE)</f>
        <v>3947.3684210526317</v>
      </c>
      <c r="AJ9" s="623">
        <f>VLOOKUP($C9,Master!$F:$AU,AJ$4,FALSE)</f>
        <v>0</v>
      </c>
      <c r="AK9" s="627">
        <f>VLOOKUP($C9,Master!$F:$AU,AK$4,FALSE)</f>
        <v>0</v>
      </c>
      <c r="AL9" s="628">
        <v>4210149618125</v>
      </c>
      <c r="AM9" s="620" t="str">
        <f>VLOOKUP($C9,Master!$F:$AU,AM$4,FALSE)</f>
        <v>Muhammad Khawar</v>
      </c>
      <c r="AN9" s="623">
        <f>VLOOKUP($C9,Master!$F:$AU,AN$4,FALSE)</f>
        <v>0</v>
      </c>
      <c r="AO9" s="623">
        <f>VLOOKUP($C9,Master!$F:$AU,AO$4,FALSE)</f>
        <v>0</v>
      </c>
      <c r="AP9" s="623">
        <f>VLOOKUP($C9,Master!$F:$AU,AP$4,FALSE)</f>
        <v>0</v>
      </c>
      <c r="AQ9" s="623">
        <f>VLOOKUP($C9,Master!$F:$AU,AQ$4,FALSE)</f>
        <v>0</v>
      </c>
      <c r="AR9" s="623">
        <f>VLOOKUP($C9,Master!$F:$AU,AR$4,FALSE)</f>
        <v>3947.3684210526317</v>
      </c>
      <c r="AS9" s="673">
        <f>VLOOKUP($C9,Master!$F:$AU,AS$4,FALSE)</f>
        <v>3947.3684210526317</v>
      </c>
      <c r="AT9" s="623">
        <f>VLOOKUP($C9,Master!$F:$AU,AT$4,FALSE)</f>
        <v>0</v>
      </c>
      <c r="AU9" s="623">
        <f>VLOOKUP($C9,Master!$F:$AU,AU$4,FALSE)</f>
        <v>3947.3684210526317</v>
      </c>
      <c r="AW9" s="629"/>
      <c r="AX9" s="631">
        <f>+Master!$K$1</f>
        <v>276</v>
      </c>
      <c r="AY9" s="632">
        <f t="shared" si="0"/>
        <v>14.302059496567505</v>
      </c>
    </row>
    <row r="10" spans="1:51" s="617" customFormat="1" ht="45" customHeight="1" x14ac:dyDescent="0.3">
      <c r="B10" s="618">
        <v>10</v>
      </c>
      <c r="C10" s="618">
        <v>26</v>
      </c>
      <c r="D10" s="630">
        <f>_xlfn.XLOOKUP(C10,Master[Emp Code],Master[date of last increment])</f>
        <v>43646</v>
      </c>
      <c r="E10" s="618">
        <f>_xlfn.XLOOKUP(C10,Master[Emp Code],Master[[last incremnet ]])</f>
        <v>20000</v>
      </c>
      <c r="F10" s="618">
        <f>_xlfn.XLOOKUP(C10,Master[Emp Code],Master['# Months Since Last Increment])</f>
        <v>10</v>
      </c>
      <c r="G10" s="630">
        <f>VLOOKUP($C10,Master!$F:$AU,G$4,FALSE)</f>
        <v>42601</v>
      </c>
      <c r="H10" s="618" t="str">
        <f>VLOOKUP($C10,Master!$F:$AU,H$4,FALSE)</f>
        <v>CT</v>
      </c>
      <c r="I10" s="620" t="str">
        <f>VLOOKUP($C10,Master!$F:$AU,I$4,FALSE)</f>
        <v>Azmeer Sheikh</v>
      </c>
      <c r="J10" s="620" t="str">
        <f>VLOOKUP($C10,Master!$F:$AU,J$4,FALSE)</f>
        <v>Data Analysis</v>
      </c>
      <c r="K10" s="621" t="str">
        <f>VLOOKUP($C10,Master!$F:$AU,K$4,FALSE)</f>
        <v>Trainee</v>
      </c>
      <c r="L10" s="620" t="str">
        <f>VLOOKUP($C10,Master!$F:$AU,L$4,FALSE)</f>
        <v>Umair Kaim Khani</v>
      </c>
      <c r="M10" s="622" t="str">
        <f>VLOOKUP($C10,Master!$F:$AU,M$4,FALSE)</f>
        <v>HW</v>
      </c>
      <c r="N10" s="622" t="str">
        <f>VLOOKUP($C10,Master!$F:$AU,N$4,FALSE)</f>
        <v>ALL</v>
      </c>
      <c r="O10" s="618" t="str">
        <f>VLOOKUP($C10,Master!$F:$AU,O$4,FALSE)</f>
        <v>P</v>
      </c>
      <c r="P10" s="623">
        <f>VLOOKUP($C10,Master!$F:$AU,P$4,FALSE)</f>
        <v>60000</v>
      </c>
      <c r="Q10" s="623">
        <f>VLOOKUP($C10,Master!$F:$AU,Q$4,FALSE)</f>
        <v>37500</v>
      </c>
      <c r="R10" s="623">
        <f>VLOOKUP($C10,Master!$F:$AU,R$4,FALSE)</f>
        <v>15000</v>
      </c>
      <c r="S10" s="623">
        <f>VLOOKUP($C10,Master!$F:$AU,S$4,FALSE)</f>
        <v>3750</v>
      </c>
      <c r="T10" s="623">
        <f>VLOOKUP($C10,Master!$F:$AU,T$4,FALSE)</f>
        <v>3750</v>
      </c>
      <c r="U10" s="623">
        <f>VLOOKUP($C10,Master!$F:$AU,U$4,FALSE)</f>
        <v>60000</v>
      </c>
      <c r="V10" s="624">
        <f>VLOOKUP($C10,Master!$F:$AU,V$4,FALSE)</f>
        <v>0</v>
      </c>
      <c r="W10" s="623">
        <f>VLOOKUP($C10,Master!$F:$AU,W$4,FALSE)</f>
        <v>0</v>
      </c>
      <c r="X10" s="623">
        <f>VLOOKUP($C10,Master!$F:$AU,X$4,FALSE)</f>
        <v>0</v>
      </c>
      <c r="Y10" s="623">
        <f>VLOOKUP($C10,Master!$F:$AU,Y$4,FALSE)</f>
        <v>0</v>
      </c>
      <c r="Z10" s="623">
        <f>VLOOKUP($C10,Master!$F:$AU,Z$4,FALSE)</f>
        <v>0</v>
      </c>
      <c r="AA10" s="625">
        <f>VLOOKUP($C10,Master!$F:$AU,AA$4,FALSE)</f>
        <v>350.87719298245617</v>
      </c>
      <c r="AB10" s="625">
        <f>VLOOKUP($C10,Master!$F:$AU,AB$4,FALSE)</f>
        <v>0</v>
      </c>
      <c r="AC10" s="625">
        <f>VLOOKUP($C10,Master!$F:$AU,AC$4,FALSE)</f>
        <v>0</v>
      </c>
      <c r="AD10" s="623">
        <f>VLOOKUP($C10,Master!$F:$AU,AD$4,FALSE)</f>
        <v>60000</v>
      </c>
      <c r="AE10" s="623">
        <f>VLOOKUP($C10,Master!$F:$AU,AE$4,FALSE)</f>
        <v>0</v>
      </c>
      <c r="AF10" s="623">
        <f>VLOOKUP($C10,Master!$F:$AU,AF$4,FALSE)</f>
        <v>0</v>
      </c>
      <c r="AG10" s="623">
        <f>VLOOKUP($C10,Master!$F:$AU,AG$4,FALSE)</f>
        <v>0</v>
      </c>
      <c r="AH10" s="623">
        <f>VLOOKUP($C10,Master!$F:$AU,AH$4,FALSE)</f>
        <v>5000</v>
      </c>
      <c r="AI10" s="626">
        <f>VLOOKUP($C10,Master!$F:$AU,AI$4,FALSE)</f>
        <v>55000</v>
      </c>
      <c r="AJ10" s="623" t="str">
        <f>VLOOKUP($C10,Master!$F:$AU,AJ$4,FALSE)</f>
        <v>Habib Bank Limited</v>
      </c>
      <c r="AK10" s="627" t="str">
        <f>VLOOKUP($C10,Master!$F:$AU,AK$4,FALSE)</f>
        <v>0017-79009066-03</v>
      </c>
      <c r="AL10" s="628">
        <v>4220137461061</v>
      </c>
      <c r="AM10" s="620" t="str">
        <f>VLOOKUP($C10,Master!$F:$AU,AM$4,FALSE)</f>
        <v>AZMEER SHAIKH</v>
      </c>
      <c r="AN10" s="623">
        <f>VLOOKUP($C10,Master!$F:$AU,AN$4,FALSE)</f>
        <v>55000</v>
      </c>
      <c r="AO10" s="623">
        <f>VLOOKUP($C10,Master!$F:$AU,AO$4,FALSE)</f>
        <v>0</v>
      </c>
      <c r="AP10" s="623">
        <f>VLOOKUP($C10,Master!$F:$AU,AP$4,FALSE)</f>
        <v>0</v>
      </c>
      <c r="AQ10" s="623">
        <f>VLOOKUP($C10,Master!$F:$AU,AQ$4,FALSE)</f>
        <v>0</v>
      </c>
      <c r="AR10" s="623">
        <f>VLOOKUP($C10,Master!$F:$AU,AR$4,FALSE)</f>
        <v>0</v>
      </c>
      <c r="AS10" s="673">
        <f>VLOOKUP($C10,Master!$F:$AU,AS$4,FALSE)</f>
        <v>55000</v>
      </c>
      <c r="AT10" s="623">
        <f>VLOOKUP($C10,Master!$F:$AU,AT$4,FALSE)</f>
        <v>0</v>
      </c>
      <c r="AU10" s="623">
        <f>VLOOKUP($C10,Master!$F:$AU,AU$4,FALSE)</f>
        <v>55000</v>
      </c>
      <c r="AW10" s="629"/>
      <c r="AX10" s="631">
        <f>+Master!$K$1</f>
        <v>276</v>
      </c>
      <c r="AY10" s="632">
        <f>+AD10/AX10</f>
        <v>217.39130434782609</v>
      </c>
    </row>
    <row r="11" spans="1:51" s="617" customFormat="1" ht="45" customHeight="1" x14ac:dyDescent="0.3">
      <c r="B11" s="618">
        <v>11</v>
      </c>
      <c r="C11" s="618">
        <v>221</v>
      </c>
      <c r="D11" s="630">
        <f>_xlfn.XLOOKUP(C11,Master[Emp Code],Master[date of last increment])</f>
        <v>0</v>
      </c>
      <c r="E11" s="618">
        <f>_xlfn.XLOOKUP(C11,Master[Emp Code],Master[[last incremnet ]])</f>
        <v>0</v>
      </c>
      <c r="F11" s="618">
        <f>_xlfn.XLOOKUP(C11,Master[Emp Code],Master['# Months Since Last Increment])</f>
        <v>0</v>
      </c>
      <c r="G11" s="630">
        <f>VLOOKUP($C11,Master!$F:$AU,G$4,FALSE)</f>
        <v>43479</v>
      </c>
      <c r="H11" s="618">
        <f>VLOOKUP($C11,Master!$F:$AU,H$4,FALSE)</f>
        <v>0</v>
      </c>
      <c r="I11" s="620" t="str">
        <f>VLOOKUP($C11,Master!$F:$AU,I$4,FALSE)</f>
        <v>Abdul Sami Kamali</v>
      </c>
      <c r="J11" s="620" t="str">
        <f>VLOOKUP($C11,Master!$F:$AU,J$4,FALSE)</f>
        <v>Data Analysis</v>
      </c>
      <c r="K11" s="621" t="str">
        <f>VLOOKUP($C11,Master!$F:$AU,K$4,FALSE)</f>
        <v>Trainee</v>
      </c>
      <c r="L11" s="620" t="str">
        <f>VLOOKUP($C11,Master!$F:$AU,L$4,FALSE)</f>
        <v>Azmeer</v>
      </c>
      <c r="M11" s="622" t="str">
        <f>VLOOKUP($C11,Master!$F:$AU,M$4,FALSE)</f>
        <v>HW</v>
      </c>
      <c r="N11" s="622" t="str">
        <f>VLOOKUP($C11,Master!$F:$AU,N$4,FALSE)</f>
        <v>ALL</v>
      </c>
      <c r="O11" s="618" t="str">
        <f>VLOOKUP($C11,Master!$F:$AU,O$4,FALSE)</f>
        <v>NP</v>
      </c>
      <c r="P11" s="623">
        <f>VLOOKUP($C11,Master!$F:$AU,P$4,FALSE)</f>
        <v>25000</v>
      </c>
      <c r="Q11" s="623">
        <f>VLOOKUP($C11,Master!$F:$AU,Q$4,FALSE)</f>
        <v>15625</v>
      </c>
      <c r="R11" s="623">
        <f>VLOOKUP($C11,Master!$F:$AU,R$4,FALSE)</f>
        <v>6250</v>
      </c>
      <c r="S11" s="623">
        <f>VLOOKUP($C11,Master!$F:$AU,S$4,FALSE)</f>
        <v>1562.5</v>
      </c>
      <c r="T11" s="623">
        <f>VLOOKUP($C11,Master!$F:$AU,T$4,FALSE)</f>
        <v>1562.5</v>
      </c>
      <c r="U11" s="623">
        <f>VLOOKUP($C11,Master!$F:$AU,U$4,FALSE)</f>
        <v>25000</v>
      </c>
      <c r="V11" s="624">
        <f>VLOOKUP($C11,Master!$F:$AU,V$4,FALSE)</f>
        <v>0</v>
      </c>
      <c r="W11" s="623">
        <f>VLOOKUP($C11,Master!$F:$AU,W$4,FALSE)</f>
        <v>0</v>
      </c>
      <c r="X11" s="623">
        <f>VLOOKUP($C11,Master!$F:$AU,X$4,FALSE)</f>
        <v>0</v>
      </c>
      <c r="Y11" s="623">
        <f>VLOOKUP($C11,Master!$F:$AU,Y$4,FALSE)</f>
        <v>0</v>
      </c>
      <c r="Z11" s="623">
        <f>VLOOKUP($C11,Master!$F:$AU,Z$4,FALSE)</f>
        <v>0</v>
      </c>
      <c r="AA11" s="625">
        <f>VLOOKUP($C11,Master!$F:$AU,AA$4,FALSE)</f>
        <v>146.19883040935673</v>
      </c>
      <c r="AB11" s="625">
        <f>VLOOKUP($C11,Master!$F:$AU,AB$4,FALSE)</f>
        <v>0</v>
      </c>
      <c r="AC11" s="625">
        <f>VLOOKUP($C11,Master!$F:$AU,AC$4,FALSE)</f>
        <v>0</v>
      </c>
      <c r="AD11" s="623">
        <f>VLOOKUP($C11,Master!$F:$AU,AD$4,FALSE)</f>
        <v>25000</v>
      </c>
      <c r="AE11" s="623">
        <f>VLOOKUP($C11,Master!$F:$AU,AE$4,FALSE)</f>
        <v>0</v>
      </c>
      <c r="AF11" s="623">
        <f>VLOOKUP($C11,Master!$F:$AU,AF$4,FALSE)</f>
        <v>0</v>
      </c>
      <c r="AG11" s="623">
        <f>VLOOKUP($C11,Master!$F:$AU,AG$4,FALSE)</f>
        <v>0</v>
      </c>
      <c r="AH11" s="623">
        <f>VLOOKUP($C11,Master!$F:$AU,AH$4,FALSE)</f>
        <v>0</v>
      </c>
      <c r="AI11" s="626">
        <f>VLOOKUP($C11,Master!$F:$AU,AI$4,FALSE)</f>
        <v>25000</v>
      </c>
      <c r="AJ11" s="623" t="str">
        <f>VLOOKUP($C11,Master!$F:$AU,AJ$4,FALSE)</f>
        <v>NAYAPAY</v>
      </c>
      <c r="AK11" s="627" t="str">
        <f>VLOOKUP($C11,Master!$F:$AU,AK$4,FALSE)</f>
        <v>03313102701</v>
      </c>
      <c r="AL11" s="628">
        <v>4220137461061</v>
      </c>
      <c r="AM11" s="620" t="str">
        <f>VLOOKUP($C11,Master!$F:$AU,AM$4,FALSE)</f>
        <v>Abdul Sami Kamali</v>
      </c>
      <c r="AN11" s="623">
        <f>VLOOKUP($C11,Master!$F:$AU,AN$4,FALSE)</f>
        <v>0</v>
      </c>
      <c r="AO11" s="623">
        <f>VLOOKUP($C11,Master!$F:$AU,AO$4,FALSE)</f>
        <v>0</v>
      </c>
      <c r="AP11" s="623">
        <f>VLOOKUP($C11,Master!$F:$AU,AP$4,FALSE)</f>
        <v>0</v>
      </c>
      <c r="AQ11" s="623">
        <f>VLOOKUP($C11,Master!$F:$AU,AQ$4,FALSE)</f>
        <v>25000</v>
      </c>
      <c r="AR11" s="623">
        <f>VLOOKUP($C11,Master!$F:$AU,AR$4,FALSE)</f>
        <v>0</v>
      </c>
      <c r="AS11" s="673">
        <f>VLOOKUP($C11,Master!$F:$AU,AS$4,FALSE)</f>
        <v>25000</v>
      </c>
      <c r="AT11" s="623">
        <f>VLOOKUP($C11,Master!$F:$AU,AT$4,FALSE)</f>
        <v>0</v>
      </c>
      <c r="AU11" s="623">
        <f>VLOOKUP($C11,Master!$F:$AU,AU$4,FALSE)</f>
        <v>25000</v>
      </c>
      <c r="AW11" s="629"/>
      <c r="AX11" s="631">
        <f>+Master!$K$1</f>
        <v>276</v>
      </c>
      <c r="AY11" s="632">
        <f>+AD11/AX11</f>
        <v>90.579710144927532</v>
      </c>
    </row>
    <row r="12" spans="1:51" s="633" customFormat="1" ht="45" customHeight="1" x14ac:dyDescent="0.3">
      <c r="A12" s="617"/>
      <c r="B12" s="618">
        <v>12</v>
      </c>
      <c r="C12" s="618">
        <v>225</v>
      </c>
      <c r="D12" s="630">
        <f>_xlfn.XLOOKUP(C12,Master[Emp Code],Master[date of last increment])</f>
        <v>0</v>
      </c>
      <c r="E12" s="618">
        <f>_xlfn.XLOOKUP(C12,Master[Emp Code],Master[[last incremnet ]])</f>
        <v>0</v>
      </c>
      <c r="F12" s="618">
        <f>_xlfn.XLOOKUP(C12,Master[Emp Code],Master['# Months Since Last Increment])</f>
        <v>0</v>
      </c>
      <c r="G12" s="619">
        <f>VLOOKUP($C12,Master!$F:$AU,G$4,FALSE)</f>
        <v>43845</v>
      </c>
      <c r="H12" s="618">
        <f>VLOOKUP($C12,Master!$F:$AU,H$4,FALSE)</f>
        <v>0</v>
      </c>
      <c r="I12" s="620" t="str">
        <f>VLOOKUP($C12,Master!$F:$AU,I$4,FALSE)</f>
        <v>Aun Zaidi</v>
      </c>
      <c r="J12" s="621" t="str">
        <f>VLOOKUP($C12,Master!$F:$AU,J$4,FALSE)</f>
        <v>Data Analysis</v>
      </c>
      <c r="K12" s="621" t="str">
        <f>VLOOKUP($C12,Master!$F:$AU,K$4,FALSE)</f>
        <v>Trainee</v>
      </c>
      <c r="L12" s="621" t="str">
        <f>VLOOKUP($C12,Master!$F:$AU,L$4,FALSE)</f>
        <v>Azmeer</v>
      </c>
      <c r="M12" s="622" t="str">
        <f>VLOOKUP($C12,Master!$F:$AU,M$4,FALSE)</f>
        <v>HW</v>
      </c>
      <c r="N12" s="622" t="str">
        <f>VLOOKUP($C12,Master!$F:$AU,N$4,FALSE)</f>
        <v>ALL</v>
      </c>
      <c r="O12" s="618" t="str">
        <f>VLOOKUP($C12,Master!$F:$AU,O$4,FALSE)</f>
        <v>NP</v>
      </c>
      <c r="P12" s="623">
        <f>VLOOKUP($C12,Master!$F:$AU,P$4,FALSE)</f>
        <v>20000</v>
      </c>
      <c r="Q12" s="623">
        <f>VLOOKUP($C12,Master!$F:$AU,Q$4,FALSE)</f>
        <v>12500</v>
      </c>
      <c r="R12" s="623">
        <f>VLOOKUP($C12,Master!$F:$AU,R$4,FALSE)</f>
        <v>5000</v>
      </c>
      <c r="S12" s="623">
        <f>VLOOKUP($C12,Master!$F:$AU,S$4,FALSE)</f>
        <v>1250</v>
      </c>
      <c r="T12" s="623">
        <f>VLOOKUP($C12,Master!$F:$AU,T$4,FALSE)</f>
        <v>1250</v>
      </c>
      <c r="U12" s="623">
        <f>VLOOKUP($C12,Master!$F:$AU,U$4,FALSE)</f>
        <v>20000</v>
      </c>
      <c r="V12" s="624">
        <f>VLOOKUP($C12,Master!$F:$AU,V$4,FALSE)</f>
        <v>0</v>
      </c>
      <c r="W12" s="623">
        <f>VLOOKUP($C12,Master!$F:$AU,W$4,FALSE)</f>
        <v>0</v>
      </c>
      <c r="X12" s="623">
        <f>VLOOKUP($C12,Master!$F:$AU,X$4,FALSE)</f>
        <v>0</v>
      </c>
      <c r="Y12" s="623">
        <f>VLOOKUP($C12,Master!$F:$AU,Y$4,FALSE)</f>
        <v>0</v>
      </c>
      <c r="Z12" s="623">
        <f>VLOOKUP($C12,Master!$F:$AU,Z$4,FALSE)</f>
        <v>0</v>
      </c>
      <c r="AA12" s="625">
        <f>VLOOKUP($C12,Master!$F:$AU,AA$4,FALSE)</f>
        <v>116.95906432748536</v>
      </c>
      <c r="AB12" s="625">
        <f>VLOOKUP($C12,Master!$F:$AU,AB$4,FALSE)</f>
        <v>0</v>
      </c>
      <c r="AC12" s="625">
        <f>VLOOKUP($C12,Master!$F:$AU,AC$4,FALSE)</f>
        <v>0</v>
      </c>
      <c r="AD12" s="623">
        <f>VLOOKUP($C12,Master!$F:$AU,AD$4,FALSE)</f>
        <v>20000</v>
      </c>
      <c r="AE12" s="623">
        <f>VLOOKUP($C12,Master!$F:$AU,AE$4,FALSE)</f>
        <v>0</v>
      </c>
      <c r="AF12" s="623">
        <f>VLOOKUP($C12,Master!$F:$AU,AF$4,FALSE)</f>
        <v>0</v>
      </c>
      <c r="AG12" s="623">
        <f>VLOOKUP($C12,Master!$F:$AU,AG$4,FALSE)</f>
        <v>0</v>
      </c>
      <c r="AH12" s="623">
        <f>VLOOKUP($C12,Master!$F:$AU,AH$4,FALSE)</f>
        <v>0</v>
      </c>
      <c r="AI12" s="626">
        <f>VLOOKUP($C12,Master!$F:$AU,AI$4,FALSE)</f>
        <v>20000</v>
      </c>
      <c r="AJ12" s="623" t="str">
        <f>VLOOKUP($C12,Master!$F:$AU,AJ$4,FALSE)</f>
        <v>Habib Bank Limited</v>
      </c>
      <c r="AK12" s="627" t="str">
        <f>VLOOKUP($C12,Master!$F:$AU,AK$4,FALSE)</f>
        <v>08780017874001</v>
      </c>
      <c r="AL12" s="628">
        <v>4210128184849</v>
      </c>
      <c r="AM12" s="620" t="str">
        <f>VLOOKUP($C12,Master!$F:$AU,AM$4,FALSE)</f>
        <v>SYED AJAZ HUSSAIN ZAIDI</v>
      </c>
      <c r="AN12" s="623">
        <f>VLOOKUP($C12,Master!$F:$AU,AN$4,FALSE)</f>
        <v>20000</v>
      </c>
      <c r="AO12" s="623">
        <f>VLOOKUP($C12,Master!$F:$AU,AO$4,FALSE)</f>
        <v>0</v>
      </c>
      <c r="AP12" s="623">
        <f>VLOOKUP($C12,Master!$F:$AU,AP$4,FALSE)</f>
        <v>0</v>
      </c>
      <c r="AQ12" s="623">
        <f>VLOOKUP($C12,Master!$F:$AU,AQ$4,FALSE)</f>
        <v>0</v>
      </c>
      <c r="AR12" s="623">
        <f>VLOOKUP($C12,Master!$F:$AU,AR$4,FALSE)</f>
        <v>0</v>
      </c>
      <c r="AS12" s="673">
        <f>VLOOKUP($C12,Master!$F:$AU,AS$4,FALSE)</f>
        <v>20000</v>
      </c>
      <c r="AT12" s="623">
        <f>VLOOKUP($C12,Master!$F:$AU,AT$4,FALSE)</f>
        <v>0</v>
      </c>
      <c r="AU12" s="623">
        <f>VLOOKUP($C12,Master!$F:$AU,AU$4,FALSE)</f>
        <v>20000</v>
      </c>
      <c r="AV12" s="617"/>
      <c r="AW12" s="629"/>
      <c r="AX12" s="631">
        <f>+Master!$K$1</f>
        <v>276</v>
      </c>
      <c r="AY12" s="632">
        <f>+AD12/AX12</f>
        <v>72.463768115942031</v>
      </c>
    </row>
    <row r="13" spans="1:51" s="633" customFormat="1" ht="45" customHeight="1" x14ac:dyDescent="0.3">
      <c r="A13" s="617"/>
      <c r="B13" s="618">
        <v>13</v>
      </c>
      <c r="C13" s="618">
        <v>224</v>
      </c>
      <c r="D13" s="630">
        <f>_xlfn.XLOOKUP(C13,Master[Emp Code],Master[date of last increment])</f>
        <v>0</v>
      </c>
      <c r="E13" s="618">
        <f>_xlfn.XLOOKUP(C13,Master[Emp Code],Master[[last incremnet ]])</f>
        <v>0</v>
      </c>
      <c r="F13" s="618">
        <f>_xlfn.XLOOKUP(C13,Master[Emp Code],Master['# Months Since Last Increment])</f>
        <v>0</v>
      </c>
      <c r="G13" s="619">
        <f>VLOOKUP($C13,Master!$F:$AU,G$4,FALSE)</f>
        <v>43861</v>
      </c>
      <c r="H13" s="618">
        <f>VLOOKUP($C13,Master!$F:$AU,H$4,FALSE)</f>
        <v>0</v>
      </c>
      <c r="I13" s="620" t="str">
        <f>VLOOKUP($C13,Master!$F:$AU,I$4,FALSE)</f>
        <v>Taha Ahmed</v>
      </c>
      <c r="J13" s="621" t="str">
        <f>VLOOKUP($C13,Master!$F:$AU,J$4,FALSE)</f>
        <v>Data Analysis</v>
      </c>
      <c r="K13" s="621" t="str">
        <f>VLOOKUP($C13,Master!$F:$AU,K$4,FALSE)</f>
        <v>Trainee</v>
      </c>
      <c r="L13" s="621" t="str">
        <f>VLOOKUP($C13,Master!$F:$AU,L$4,FALSE)</f>
        <v>Azmeer</v>
      </c>
      <c r="M13" s="622" t="str">
        <f>VLOOKUP($C13,Master!$F:$AU,M$4,FALSE)</f>
        <v>HW</v>
      </c>
      <c r="N13" s="622" t="str">
        <f>VLOOKUP($C13,Master!$F:$AU,N$4,FALSE)</f>
        <v>ALL</v>
      </c>
      <c r="O13" s="618" t="str">
        <f>VLOOKUP($C13,Master!$F:$AU,O$4,FALSE)</f>
        <v>NP</v>
      </c>
      <c r="P13" s="623">
        <f>VLOOKUP($C13,Master!$F:$AU,P$4,FALSE)</f>
        <v>15000</v>
      </c>
      <c r="Q13" s="623">
        <f>VLOOKUP($C13,Master!$F:$AU,Q$4,FALSE)</f>
        <v>9375</v>
      </c>
      <c r="R13" s="623">
        <f>VLOOKUP($C13,Master!$F:$AU,R$4,FALSE)</f>
        <v>3750</v>
      </c>
      <c r="S13" s="623">
        <f>VLOOKUP($C13,Master!$F:$AU,S$4,FALSE)</f>
        <v>937.5</v>
      </c>
      <c r="T13" s="623">
        <f>VLOOKUP($C13,Master!$F:$AU,T$4,FALSE)</f>
        <v>937.5</v>
      </c>
      <c r="U13" s="623">
        <f>VLOOKUP($C13,Master!$F:$AU,U$4,FALSE)</f>
        <v>15000</v>
      </c>
      <c r="V13" s="624">
        <f>VLOOKUP($C13,Master!$F:$AU,V$4,FALSE)</f>
        <v>0</v>
      </c>
      <c r="W13" s="623">
        <f>VLOOKUP($C13,Master!$F:$AU,W$4,FALSE)</f>
        <v>0</v>
      </c>
      <c r="X13" s="623">
        <f>VLOOKUP($C13,Master!$F:$AU,X$4,FALSE)</f>
        <v>0</v>
      </c>
      <c r="Y13" s="623">
        <f>VLOOKUP($C13,Master!$F:$AU,Y$4,FALSE)</f>
        <v>0</v>
      </c>
      <c r="Z13" s="623">
        <f>VLOOKUP($C13,Master!$F:$AU,Z$4,FALSE)</f>
        <v>0</v>
      </c>
      <c r="AA13" s="625">
        <f>VLOOKUP($C13,Master!$F:$AU,AA$4,FALSE)</f>
        <v>87.719298245614041</v>
      </c>
      <c r="AB13" s="625">
        <f>VLOOKUP($C13,Master!$F:$AU,AB$4,FALSE)</f>
        <v>0</v>
      </c>
      <c r="AC13" s="625">
        <f>VLOOKUP($C13,Master!$F:$AU,AC$4,FALSE)</f>
        <v>0</v>
      </c>
      <c r="AD13" s="623">
        <f>VLOOKUP($C13,Master!$F:$AU,AD$4,FALSE)</f>
        <v>15000</v>
      </c>
      <c r="AE13" s="623">
        <f>VLOOKUP($C13,Master!$F:$AU,AE$4,FALSE)</f>
        <v>0</v>
      </c>
      <c r="AF13" s="623">
        <f>VLOOKUP($C13,Master!$F:$AU,AF$4,FALSE)</f>
        <v>0</v>
      </c>
      <c r="AG13" s="623">
        <f>VLOOKUP($C13,Master!$F:$AU,AG$4,FALSE)</f>
        <v>0</v>
      </c>
      <c r="AH13" s="623">
        <f>VLOOKUP($C13,Master!$F:$AU,AH$4,FALSE)</f>
        <v>0</v>
      </c>
      <c r="AI13" s="626">
        <f>VLOOKUP($C13,Master!$F:$AU,AI$4,FALSE)</f>
        <v>15000</v>
      </c>
      <c r="AJ13" s="623" t="str">
        <f>VLOOKUP($C13,Master!$F:$AU,AJ$4,FALSE)</f>
        <v>MCB Bank</v>
      </c>
      <c r="AK13" s="627" t="str">
        <f>VLOOKUP($C13,Master!$F:$AU,AK$4,FALSE)</f>
        <v>PK27MUCB0006802010077407</v>
      </c>
      <c r="AL13" s="628">
        <v>4210128184849</v>
      </c>
      <c r="AM13" s="620" t="str">
        <f>VLOOKUP($C13,Master!$F:$AU,AM$4,FALSE)</f>
        <v>Zameer Ahmed Usmani</v>
      </c>
      <c r="AN13" s="623">
        <f>VLOOKUP($C13,Master!$F:$AU,AN$4,FALSE)</f>
        <v>0</v>
      </c>
      <c r="AO13" s="623">
        <f>VLOOKUP($C13,Master!$F:$AU,AO$4,FALSE)</f>
        <v>0</v>
      </c>
      <c r="AP13" s="623">
        <f>VLOOKUP($C13,Master!$F:$AU,AP$4,FALSE)</f>
        <v>0</v>
      </c>
      <c r="AQ13" s="623">
        <f>VLOOKUP($C13,Master!$F:$AU,AQ$4,FALSE)</f>
        <v>15000</v>
      </c>
      <c r="AR13" s="623">
        <f>VLOOKUP($C13,Master!$F:$AU,AR$4,FALSE)</f>
        <v>0</v>
      </c>
      <c r="AS13" s="673">
        <f>VLOOKUP($C13,Master!$F:$AU,AS$4,FALSE)</f>
        <v>15000</v>
      </c>
      <c r="AT13" s="623">
        <f>VLOOKUP($C13,Master!$F:$AU,AT$4,FALSE)</f>
        <v>0</v>
      </c>
      <c r="AU13" s="623">
        <f>VLOOKUP($C13,Master!$F:$AU,AU$4,FALSE)</f>
        <v>15000</v>
      </c>
      <c r="AV13" s="617"/>
      <c r="AW13" s="629"/>
      <c r="AX13" s="631">
        <f>+Master!$K$1</f>
        <v>276</v>
      </c>
      <c r="AY13" s="632">
        <f>+AD13/AX13</f>
        <v>54.347826086956523</v>
      </c>
    </row>
    <row r="14" spans="1:51" s="617" customFormat="1" ht="45" customHeight="1" x14ac:dyDescent="0.3">
      <c r="B14" s="618"/>
      <c r="C14" s="636"/>
      <c r="D14" s="636"/>
      <c r="E14" s="636"/>
      <c r="F14" s="636"/>
      <c r="G14" s="637"/>
      <c r="H14" s="636"/>
      <c r="I14" s="638"/>
      <c r="J14" s="639"/>
      <c r="K14" s="639"/>
      <c r="L14" s="639"/>
      <c r="M14" s="640"/>
      <c r="N14" s="640"/>
      <c r="O14" s="636"/>
      <c r="P14" s="641">
        <f>SUBTOTAL(9,P6:P13)</f>
        <v>240000</v>
      </c>
      <c r="Q14" s="641">
        <f t="shared" ref="Q14" si="1">SUBTOTAL(9,Q10:Q13)</f>
        <v>75000</v>
      </c>
      <c r="R14" s="641">
        <f t="shared" ref="R14" si="2">SUBTOTAL(9,R10:R13)</f>
        <v>30000</v>
      </c>
      <c r="S14" s="641">
        <f t="shared" ref="S14" si="3">SUBTOTAL(9,S10:S13)</f>
        <v>7500</v>
      </c>
      <c r="T14" s="641">
        <f t="shared" ref="T14" si="4">SUBTOTAL(9,T10:T13)</f>
        <v>7500</v>
      </c>
      <c r="U14" s="641">
        <f>SUBTOTAL(9,U6:U13)</f>
        <v>240000</v>
      </c>
      <c r="V14" s="641" t="e">
        <f>SUBTOTAL(9,#REF!)</f>
        <v>#REF!</v>
      </c>
      <c r="W14" s="635"/>
      <c r="X14" s="641">
        <f>SUBTOTAL(9,X6:X13)</f>
        <v>0</v>
      </c>
      <c r="Y14" s="635"/>
      <c r="Z14" s="641">
        <f>SUBTOTAL(9,Z6:Z13)</f>
        <v>18421.052631578947</v>
      </c>
      <c r="AA14" s="642">
        <f t="shared" ref="AA14" si="5">SUBTOTAL(9,AA10:AA13)</f>
        <v>701.75438596491233</v>
      </c>
      <c r="AB14" s="642">
        <f t="shared" ref="AB14:AU14" si="6">SUBTOTAL(9,AB6:AB13)</f>
        <v>0</v>
      </c>
      <c r="AC14" s="642">
        <f t="shared" si="6"/>
        <v>0</v>
      </c>
      <c r="AD14" s="641">
        <f t="shared" si="6"/>
        <v>221578.94736842107</v>
      </c>
      <c r="AE14" s="641">
        <f t="shared" si="6"/>
        <v>0</v>
      </c>
      <c r="AF14" s="641">
        <f t="shared" si="6"/>
        <v>0</v>
      </c>
      <c r="AG14" s="641">
        <f t="shared" si="6"/>
        <v>0</v>
      </c>
      <c r="AH14" s="641">
        <f t="shared" si="6"/>
        <v>5000</v>
      </c>
      <c r="AI14" s="643">
        <f t="shared" si="6"/>
        <v>216578.94736842107</v>
      </c>
      <c r="AJ14" s="623">
        <f t="shared" si="6"/>
        <v>0</v>
      </c>
      <c r="AK14" s="627">
        <f t="shared" si="6"/>
        <v>0</v>
      </c>
      <c r="AL14" s="628">
        <f t="shared" si="6"/>
        <v>21070680909945</v>
      </c>
      <c r="AM14" s="620">
        <f t="shared" si="6"/>
        <v>0</v>
      </c>
      <c r="AN14" s="641">
        <f t="shared" si="6"/>
        <v>145000</v>
      </c>
      <c r="AO14" s="641">
        <f t="shared" si="6"/>
        <v>0</v>
      </c>
      <c r="AP14" s="641">
        <f t="shared" si="6"/>
        <v>0</v>
      </c>
      <c r="AQ14" s="641">
        <f t="shared" si="6"/>
        <v>40000</v>
      </c>
      <c r="AR14" s="641">
        <f t="shared" si="6"/>
        <v>31578.947368421053</v>
      </c>
      <c r="AS14" s="643">
        <f t="shared" si="6"/>
        <v>216578.94736842107</v>
      </c>
      <c r="AT14" s="641">
        <f t="shared" si="6"/>
        <v>0</v>
      </c>
      <c r="AU14" s="641">
        <f t="shared" si="6"/>
        <v>216578.94736842107</v>
      </c>
      <c r="AW14" s="629"/>
      <c r="AY14" s="641">
        <f t="shared" ref="AY14" si="7">SUBTOTAL(9,AY10:AY13)</f>
        <v>434.78260869565213</v>
      </c>
    </row>
    <row r="15" spans="1:51" s="617" customFormat="1" ht="45" customHeight="1" x14ac:dyDescent="0.3">
      <c r="B15" s="618"/>
      <c r="C15" s="618"/>
      <c r="D15" s="630"/>
      <c r="E15" s="618"/>
      <c r="F15" s="618"/>
      <c r="G15" s="630"/>
      <c r="H15" s="618"/>
      <c r="I15" s="620"/>
      <c r="J15" s="620"/>
      <c r="K15" s="621"/>
      <c r="L15" s="620"/>
      <c r="M15" s="622"/>
      <c r="N15" s="622"/>
      <c r="O15" s="618"/>
      <c r="P15" s="623"/>
      <c r="Q15" s="623"/>
      <c r="R15" s="623"/>
      <c r="S15" s="623"/>
      <c r="T15" s="623"/>
      <c r="U15" s="623"/>
      <c r="V15" s="624"/>
      <c r="W15" s="623"/>
      <c r="X15" s="623"/>
      <c r="Y15" s="623"/>
      <c r="Z15" s="623"/>
      <c r="AA15" s="625"/>
      <c r="AB15" s="625"/>
      <c r="AC15" s="625"/>
      <c r="AD15" s="623"/>
      <c r="AE15" s="623"/>
      <c r="AF15" s="623"/>
      <c r="AG15" s="623"/>
      <c r="AH15" s="623"/>
      <c r="AI15" s="626"/>
      <c r="AJ15" s="623"/>
      <c r="AK15" s="627"/>
      <c r="AL15" s="628"/>
      <c r="AM15" s="620"/>
      <c r="AN15" s="623"/>
      <c r="AO15" s="623"/>
      <c r="AP15" s="623"/>
      <c r="AQ15" s="623"/>
      <c r="AR15" s="623"/>
      <c r="AS15" s="673"/>
      <c r="AT15" s="623"/>
      <c r="AU15" s="623"/>
      <c r="AW15" s="629"/>
      <c r="AX15" s="631"/>
      <c r="AY15" s="632"/>
    </row>
    <row r="16" spans="1:51" s="617" customFormat="1" ht="45" customHeight="1" x14ac:dyDescent="0.3">
      <c r="B16" s="618">
        <v>6</v>
      </c>
      <c r="C16" s="740">
        <v>228</v>
      </c>
      <c r="D16" s="741">
        <f>_xlfn.XLOOKUP(C16,Master[Emp Code],Master[date of last increment])</f>
        <v>0</v>
      </c>
      <c r="E16" s="740">
        <f>_xlfn.XLOOKUP(C16,Master[Emp Code],Master[[last incremnet ]])</f>
        <v>0</v>
      </c>
      <c r="F16" s="740">
        <f>_xlfn.XLOOKUP(C16,Master[Emp Code],Master['# Months Since Last Increment])</f>
        <v>0</v>
      </c>
      <c r="G16" s="741">
        <f>VLOOKUP($C16,Master!$F:$AU,G$4,FALSE)</f>
        <v>0</v>
      </c>
      <c r="H16" s="740">
        <f>VLOOKUP($C16,Master!$F:$AU,H$4,FALSE)</f>
        <v>0</v>
      </c>
      <c r="I16" s="742" t="str">
        <f>VLOOKUP($C16,Master!$F:$AU,I$4,FALSE)</f>
        <v>Kashan Ahmed</v>
      </c>
      <c r="J16" s="742" t="str">
        <f>VLOOKUP($C16,Master!$F:$AU,J$4,FALSE)</f>
        <v>Marketing - SEO</v>
      </c>
      <c r="K16" s="743" t="str">
        <f>VLOOKUP($C16,Master!$F:$AU,K$4,FALSE)</f>
        <v>SEO Intern</v>
      </c>
      <c r="L16" s="742" t="str">
        <f>VLOOKUP($C16,Master!$F:$AU,L$4,FALSE)</f>
        <v>Muhammad Yousuf</v>
      </c>
      <c r="M16" s="744" t="str">
        <f>VLOOKUP($C16,Master!$F:$AU,M$4,FALSE)</f>
        <v>HW</v>
      </c>
      <c r="N16" s="744" t="str">
        <f>VLOOKUP($C16,Master!$F:$AU,N$4,FALSE)</f>
        <v>ALL</v>
      </c>
      <c r="O16" s="740" t="str">
        <f>VLOOKUP($C16,Master!$F:$AU,O$4,FALSE)</f>
        <v>NP</v>
      </c>
      <c r="P16" s="745">
        <f>VLOOKUP($C16,Master!$F:$AU,P$4,FALSE)</f>
        <v>35000</v>
      </c>
      <c r="Q16" s="745">
        <f>VLOOKUP($C16,Master!$F:$AU,Q$4,FALSE)</f>
        <v>21875</v>
      </c>
      <c r="R16" s="745">
        <f>VLOOKUP($C16,Master!$F:$AU,R$4,FALSE)</f>
        <v>8750</v>
      </c>
      <c r="S16" s="745">
        <f>VLOOKUP($C16,Master!$F:$AU,S$4,FALSE)</f>
        <v>2187.5</v>
      </c>
      <c r="T16" s="745">
        <f>VLOOKUP($C16,Master!$F:$AU,T$4,FALSE)</f>
        <v>2187.5</v>
      </c>
      <c r="U16" s="745">
        <f>VLOOKUP($C16,Master!$F:$AU,U$4,FALSE)</f>
        <v>35000</v>
      </c>
      <c r="V16" s="746">
        <f>VLOOKUP($C16,Master!$F:$AU,V$4,FALSE)</f>
        <v>0</v>
      </c>
      <c r="W16" s="745">
        <f>VLOOKUP($C16,Master!$F:$AU,W$4,FALSE)</f>
        <v>0</v>
      </c>
      <c r="X16" s="745">
        <f>VLOOKUP($C16,Master!$F:$AU,X$4,FALSE)</f>
        <v>0</v>
      </c>
      <c r="Y16" s="745">
        <f>VLOOKUP($C16,Master!$F:$AU,Y$4,FALSE)</f>
        <v>14</v>
      </c>
      <c r="Z16" s="745">
        <f>VLOOKUP($C16,Master!$F:$AU,Z$4,FALSE)</f>
        <v>25789.473684210527</v>
      </c>
      <c r="AA16" s="747">
        <f>VLOOKUP($C16,Master!$F:$AU,AA$4,FALSE)</f>
        <v>204.67836257309943</v>
      </c>
      <c r="AB16" s="747">
        <f>VLOOKUP($C16,Master!$F:$AU,AB$4,FALSE)</f>
        <v>0</v>
      </c>
      <c r="AC16" s="747">
        <f>VLOOKUP($C16,Master!$F:$AU,AC$4,FALSE)</f>
        <v>0</v>
      </c>
      <c r="AD16" s="745">
        <f>VLOOKUP($C16,Master!$F:$AU,AD$4,FALSE)</f>
        <v>9210.5263157894733</v>
      </c>
      <c r="AE16" s="745">
        <f>VLOOKUP($C16,Master!$F:$AU,AE$4,FALSE)</f>
        <v>0</v>
      </c>
      <c r="AF16" s="745">
        <f>VLOOKUP($C16,Master!$F:$AU,AF$4,FALSE)</f>
        <v>0</v>
      </c>
      <c r="AG16" s="745">
        <f>VLOOKUP($C16,Master!$F:$AU,AG$4,FALSE)</f>
        <v>0</v>
      </c>
      <c r="AH16" s="745">
        <f>VLOOKUP($C16,Master!$F:$AU,AH$4,FALSE)</f>
        <v>0</v>
      </c>
      <c r="AI16" s="748">
        <f>VLOOKUP($C16,Master!$F:$AU,AI$4,FALSE)</f>
        <v>9210.5263157894733</v>
      </c>
      <c r="AJ16" s="745" t="str">
        <f>VLOOKUP($C16,Master!$F:$AU,AJ$4,FALSE)</f>
        <v>Faysal Bank Limited</v>
      </c>
      <c r="AK16" s="749" t="str">
        <f>VLOOKUP($C16,Master!$F:$AU,AK$4,FALSE)</f>
        <v>PK62FAYS3573383000001097</v>
      </c>
      <c r="AL16" s="750">
        <v>4220137649911</v>
      </c>
      <c r="AM16" s="742" t="str">
        <f>VLOOKUP($C16,Master!$F:$AU,AM$4,FALSE)</f>
        <v>Kashan Ahmed</v>
      </c>
      <c r="AN16" s="745">
        <f>VLOOKUP($C16,Master!$F:$AU,AN$4,FALSE)</f>
        <v>0</v>
      </c>
      <c r="AO16" s="745">
        <f>VLOOKUP($C16,Master!$F:$AU,AO$4,FALSE)</f>
        <v>0</v>
      </c>
      <c r="AP16" s="745">
        <f>VLOOKUP($C16,Master!$F:$AU,AP$4,FALSE)</f>
        <v>0</v>
      </c>
      <c r="AQ16" s="745">
        <f>VLOOKUP($C16,Master!$F:$AU,AQ$4,FALSE)</f>
        <v>0</v>
      </c>
      <c r="AR16" s="745">
        <f>VLOOKUP($C16,Master!$F:$AU,AR$4,FALSE)</f>
        <v>0</v>
      </c>
      <c r="AS16" s="746">
        <f>VLOOKUP($C16,Master!$F:$AU,AS$4,FALSE)</f>
        <v>0</v>
      </c>
      <c r="AT16" s="745">
        <f>VLOOKUP($C16,Master!$F:$AU,AT$4,FALSE)</f>
        <v>9210.5263157894733</v>
      </c>
      <c r="AU16" s="745">
        <f>VLOOKUP($C16,Master!$F:$AU,AU$4,FALSE)</f>
        <v>9210.5263157894733</v>
      </c>
      <c r="AV16" s="751"/>
      <c r="AW16" s="752"/>
      <c r="AX16" s="753">
        <f>+Master!$K$1</f>
        <v>276</v>
      </c>
      <c r="AY16" s="754">
        <f t="shared" ref="AY16" si="8">+AD16/AX16</f>
        <v>33.371472158657511</v>
      </c>
    </row>
    <row r="17" spans="1:51" s="617" customFormat="1" ht="45" customHeight="1" x14ac:dyDescent="0.3">
      <c r="B17" s="618">
        <v>7</v>
      </c>
      <c r="C17" s="740">
        <v>202</v>
      </c>
      <c r="D17" s="741">
        <f>_xlfn.XLOOKUP(C17,Master[Emp Code],Master[date of last increment])</f>
        <v>43890</v>
      </c>
      <c r="E17" s="740">
        <f>_xlfn.XLOOKUP(C17,Master[Emp Code],Master[[last incremnet ]])</f>
        <v>10000</v>
      </c>
      <c r="F17" s="740">
        <f>_xlfn.XLOOKUP(C17,Master[Emp Code],Master['# Months Since Last Increment])</f>
        <v>0</v>
      </c>
      <c r="G17" s="741">
        <f>VLOOKUP($C17,Master!$F:$AU,G$4,FALSE)</f>
        <v>43760</v>
      </c>
      <c r="H17" s="740" t="str">
        <f>VLOOKUP($C17,Master!$F:$AU,H$4,FALSE)</f>
        <v>CT</v>
      </c>
      <c r="I17" s="742" t="str">
        <f>VLOOKUP($C17,Master!$F:$AU,I$4,FALSE)</f>
        <v>Muhammad Huzaifa Haleem</v>
      </c>
      <c r="J17" s="742" t="str">
        <f>VLOOKUP($C17,Master!$F:$AU,J$4,FALSE)</f>
        <v>Marketing - SEO</v>
      </c>
      <c r="K17" s="743" t="str">
        <f>VLOOKUP($C17,Master!$F:$AU,K$4,FALSE)</f>
        <v>SEO Intern</v>
      </c>
      <c r="L17" s="742" t="str">
        <f>VLOOKUP($C17,Master!$F:$AU,L$4,FALSE)</f>
        <v>Muhammad Yousuf</v>
      </c>
      <c r="M17" s="744" t="str">
        <f>VLOOKUP($C17,Master!$F:$AU,M$4,FALSE)</f>
        <v>HW</v>
      </c>
      <c r="N17" s="744" t="str">
        <f>VLOOKUP($C17,Master!$F:$AU,N$4,FALSE)</f>
        <v>ALL</v>
      </c>
      <c r="O17" s="740" t="str">
        <f>VLOOKUP($C17,Master!$F:$AU,O$4,FALSE)</f>
        <v>NP</v>
      </c>
      <c r="P17" s="745">
        <f>VLOOKUP($C17,Master!$F:$AU,P$4,FALSE)</f>
        <v>25000</v>
      </c>
      <c r="Q17" s="745">
        <f>VLOOKUP($C17,Master!$F:$AU,Q$4,FALSE)</f>
        <v>15625</v>
      </c>
      <c r="R17" s="745">
        <f>VLOOKUP($C17,Master!$F:$AU,R$4,FALSE)</f>
        <v>6250</v>
      </c>
      <c r="S17" s="745">
        <f>VLOOKUP($C17,Master!$F:$AU,S$4,FALSE)</f>
        <v>1562.5</v>
      </c>
      <c r="T17" s="745">
        <f>VLOOKUP($C17,Master!$F:$AU,T$4,FALSE)</f>
        <v>1562.5</v>
      </c>
      <c r="U17" s="745">
        <f>VLOOKUP($C17,Master!$F:$AU,U$4,FALSE)</f>
        <v>25000</v>
      </c>
      <c r="V17" s="746">
        <f>VLOOKUP($C17,Master!$F:$AU,V$4,FALSE)</f>
        <v>0</v>
      </c>
      <c r="W17" s="745">
        <f>VLOOKUP($C17,Master!$F:$AU,W$4,FALSE)</f>
        <v>0</v>
      </c>
      <c r="X17" s="745">
        <f>VLOOKUP($C17,Master!$F:$AU,X$4,FALSE)</f>
        <v>0</v>
      </c>
      <c r="Y17" s="745">
        <f>VLOOKUP($C17,Master!$F:$AU,Y$4,FALSE)</f>
        <v>5</v>
      </c>
      <c r="Z17" s="745">
        <f>VLOOKUP($C17,Master!$F:$AU,Z$4,FALSE)</f>
        <v>6578.9473684210534</v>
      </c>
      <c r="AA17" s="747">
        <f>VLOOKUP($C17,Master!$F:$AU,AA$4,FALSE)</f>
        <v>146.19883040935673</v>
      </c>
      <c r="AB17" s="747">
        <f>VLOOKUP($C17,Master!$F:$AU,AB$4,FALSE)</f>
        <v>15</v>
      </c>
      <c r="AC17" s="747">
        <f>VLOOKUP($C17,Master!$F:$AU,AC$4,FALSE)</f>
        <v>2192.9824561403511</v>
      </c>
      <c r="AD17" s="745">
        <f>VLOOKUP($C17,Master!$F:$AU,AD$4,FALSE)</f>
        <v>16228.070175438595</v>
      </c>
      <c r="AE17" s="745">
        <f>VLOOKUP($C17,Master!$F:$AU,AE$4,FALSE)</f>
        <v>0</v>
      </c>
      <c r="AF17" s="745">
        <f>VLOOKUP($C17,Master!$F:$AU,AF$4,FALSE)</f>
        <v>0</v>
      </c>
      <c r="AG17" s="745">
        <f>VLOOKUP($C17,Master!$F:$AU,AG$4,FALSE)</f>
        <v>0</v>
      </c>
      <c r="AH17" s="745">
        <f>VLOOKUP($C17,Master!$F:$AU,AH$4,FALSE)</f>
        <v>0</v>
      </c>
      <c r="AI17" s="748">
        <f>VLOOKUP($C17,Master!$F:$AU,AI$4,FALSE)</f>
        <v>16228.070175438595</v>
      </c>
      <c r="AJ17" s="745" t="str">
        <f>VLOOKUP($C17,Master!$F:$AU,AJ$4,FALSE)</f>
        <v>NAYAPAY</v>
      </c>
      <c r="AK17" s="749" t="str">
        <f>VLOOKUP($C17,Master!$F:$AU,AK$4,FALSE)</f>
        <v>03491838351</v>
      </c>
      <c r="AL17" s="750">
        <v>4220137649911</v>
      </c>
      <c r="AM17" s="742" t="str">
        <f>VLOOKUP($C17,Master!$F:$AU,AM$4,FALSE)</f>
        <v>Muhammad Huzaifa Haleem</v>
      </c>
      <c r="AN17" s="745">
        <f>VLOOKUP($C17,Master!$F:$AU,AN$4,FALSE)</f>
        <v>0</v>
      </c>
      <c r="AO17" s="745">
        <f>VLOOKUP($C17,Master!$F:$AU,AO$4,FALSE)</f>
        <v>0</v>
      </c>
      <c r="AP17" s="745">
        <f>VLOOKUP($C17,Master!$F:$AU,AP$4,FALSE)</f>
        <v>0</v>
      </c>
      <c r="AQ17" s="745">
        <f>VLOOKUP($C17,Master!$F:$AU,AQ$4,FALSE)</f>
        <v>0</v>
      </c>
      <c r="AR17" s="745">
        <f>VLOOKUP($C17,Master!$F:$AU,AR$4,FALSE)</f>
        <v>0</v>
      </c>
      <c r="AS17" s="746">
        <f>VLOOKUP($C17,Master!$F:$AU,AS$4,FALSE)</f>
        <v>0</v>
      </c>
      <c r="AT17" s="745">
        <f>VLOOKUP($C17,Master!$F:$AU,AT$4,FALSE)</f>
        <v>16228.070175438595</v>
      </c>
      <c r="AU17" s="745">
        <f>VLOOKUP($C17,Master!$F:$AU,AU$4,FALSE)</f>
        <v>16228.070175438595</v>
      </c>
      <c r="AV17" s="751"/>
      <c r="AW17" s="752"/>
      <c r="AX17" s="753">
        <f>+Master!$K$1</f>
        <v>276</v>
      </c>
      <c r="AY17" s="754">
        <f>+AD17/AX17</f>
        <v>58.797355708110857</v>
      </c>
    </row>
    <row r="18" spans="1:51" s="617" customFormat="1" ht="45" customHeight="1" x14ac:dyDescent="0.3">
      <c r="B18" s="618">
        <v>8</v>
      </c>
      <c r="C18" s="618">
        <v>149</v>
      </c>
      <c r="D18" s="630">
        <f>_xlfn.XLOOKUP(C18,Master[Emp Code],Master[date of last increment])</f>
        <v>0</v>
      </c>
      <c r="E18" s="618">
        <f>_xlfn.XLOOKUP(C18,Master[Emp Code],Master[[last incremnet ]])</f>
        <v>0</v>
      </c>
      <c r="F18" s="618">
        <f>_xlfn.XLOOKUP(C18,Master[Emp Code],Master['# Months Since Last Increment])</f>
        <v>0</v>
      </c>
      <c r="G18" s="630">
        <f>VLOOKUP($C18,Master!$F:$AU,G$4,FALSE)</f>
        <v>43622</v>
      </c>
      <c r="H18" s="618" t="str">
        <f>VLOOKUP($C18,Master!$F:$AU,H$4,FALSE)</f>
        <v>CT</v>
      </c>
      <c r="I18" s="620" t="str">
        <f>VLOOKUP($C18,Master!$F:$AU,I$4,FALSE)</f>
        <v>Muhammad Yousuf</v>
      </c>
      <c r="J18" s="620" t="str">
        <f>VLOOKUP($C18,Master!$F:$AU,J$4,FALSE)</f>
        <v>Marketing - SEO</v>
      </c>
      <c r="K18" s="621" t="str">
        <f>VLOOKUP($C18,Master!$F:$AU,K$4,FALSE)</f>
        <v>SEO Manager</v>
      </c>
      <c r="L18" s="620" t="str">
        <f>VLOOKUP($C18,Master!$F:$AU,L$4,FALSE)</f>
        <v>Umair Kaim Khani</v>
      </c>
      <c r="M18" s="622" t="str">
        <f>VLOOKUP($C18,Master!$F:$AU,M$4,FALSE)</f>
        <v>HW</v>
      </c>
      <c r="N18" s="622" t="str">
        <f>VLOOKUP($C18,Master!$F:$AU,N$4,FALSE)</f>
        <v>ALL</v>
      </c>
      <c r="O18" s="618" t="str">
        <f>VLOOKUP($C18,Master!$F:$AU,O$4,FALSE)</f>
        <v>NP</v>
      </c>
      <c r="P18" s="623">
        <f>VLOOKUP($C18,Master!$F:$AU,P$4,FALSE)</f>
        <v>50000</v>
      </c>
      <c r="Q18" s="623">
        <f>VLOOKUP($C18,Master!$F:$AU,Q$4,FALSE)</f>
        <v>31250</v>
      </c>
      <c r="R18" s="623">
        <f>VLOOKUP($C18,Master!$F:$AU,R$4,FALSE)</f>
        <v>12500</v>
      </c>
      <c r="S18" s="623">
        <f>VLOOKUP($C18,Master!$F:$AU,S$4,FALSE)</f>
        <v>3125</v>
      </c>
      <c r="T18" s="623">
        <f>VLOOKUP($C18,Master!$F:$AU,T$4,FALSE)</f>
        <v>3125</v>
      </c>
      <c r="U18" s="623">
        <f>VLOOKUP($C18,Master!$F:$AU,U$4,FALSE)</f>
        <v>50000</v>
      </c>
      <c r="V18" s="624">
        <f>VLOOKUP($C18,Master!$F:$AU,V$4,FALSE)</f>
        <v>0</v>
      </c>
      <c r="W18" s="623">
        <f>VLOOKUP($C18,Master!$F:$AU,W$4,FALSE)</f>
        <v>0</v>
      </c>
      <c r="X18" s="623">
        <f>VLOOKUP($C18,Master!$F:$AU,X$4,FALSE)</f>
        <v>0</v>
      </c>
      <c r="Y18" s="623">
        <f>VLOOKUP($C18,Master!$F:$AU,Y$4,FALSE)</f>
        <v>0</v>
      </c>
      <c r="Z18" s="623">
        <f>VLOOKUP($C18,Master!$F:$AU,Z$4,FALSE)</f>
        <v>0</v>
      </c>
      <c r="AA18" s="625">
        <f>VLOOKUP($C18,Master!$F:$AU,AA$4,FALSE)</f>
        <v>292.39766081871346</v>
      </c>
      <c r="AB18" s="625">
        <f>VLOOKUP($C18,Master!$F:$AU,AB$4,FALSE)</f>
        <v>0</v>
      </c>
      <c r="AC18" s="625">
        <f>VLOOKUP($C18,Master!$F:$AU,AC$4,FALSE)</f>
        <v>0</v>
      </c>
      <c r="AD18" s="623">
        <f>VLOOKUP($C18,Master!$F:$AU,AD$4,FALSE)</f>
        <v>50000</v>
      </c>
      <c r="AE18" s="623">
        <f>VLOOKUP($C18,Master!$F:$AU,AE$4,FALSE)</f>
        <v>0</v>
      </c>
      <c r="AF18" s="623">
        <f>VLOOKUP($C18,Master!$F:$AU,AF$4,FALSE)</f>
        <v>0</v>
      </c>
      <c r="AG18" s="623">
        <f>VLOOKUP($C18,Master!$F:$AU,AG$4,FALSE)</f>
        <v>0</v>
      </c>
      <c r="AH18" s="623">
        <f>VLOOKUP($C18,Master!$F:$AU,AH$4,FALSE)</f>
        <v>0</v>
      </c>
      <c r="AI18" s="626">
        <f>VLOOKUP($C18,Master!$F:$AU,AI$4,FALSE)</f>
        <v>50000</v>
      </c>
      <c r="AJ18" s="623" t="str">
        <f>VLOOKUP($C18,Master!$F:$AU,AJ$4,FALSE)</f>
        <v>Habib Bank Limited</v>
      </c>
      <c r="AK18" s="627" t="str">
        <f>VLOOKUP($C18,Master!$F:$AU,AK$4,FALSE)</f>
        <v>2443-79014079-03</v>
      </c>
      <c r="AL18" s="628">
        <v>4220137649911</v>
      </c>
      <c r="AM18" s="620" t="str">
        <f>VLOOKUP($C18,Master!$F:$AU,AM$4,FALSE)</f>
        <v>Muhammad yousuf</v>
      </c>
      <c r="AN18" s="623">
        <f>VLOOKUP($C18,Master!$F:$AU,AN$4,FALSE)</f>
        <v>50000</v>
      </c>
      <c r="AO18" s="623">
        <f>VLOOKUP($C18,Master!$F:$AU,AO$4,FALSE)</f>
        <v>0</v>
      </c>
      <c r="AP18" s="623">
        <f>VLOOKUP($C18,Master!$F:$AU,AP$4,FALSE)</f>
        <v>0</v>
      </c>
      <c r="AQ18" s="623">
        <f>VLOOKUP($C18,Master!$F:$AU,AQ$4,FALSE)</f>
        <v>0</v>
      </c>
      <c r="AR18" s="623">
        <f>VLOOKUP($C18,Master!$F:$AU,AR$4,FALSE)</f>
        <v>0</v>
      </c>
      <c r="AS18" s="673">
        <f>VLOOKUP($C18,Master!$F:$AU,AS$4,FALSE)</f>
        <v>50000</v>
      </c>
      <c r="AT18" s="623">
        <f>VLOOKUP($C18,Master!$F:$AU,AT$4,FALSE)</f>
        <v>0</v>
      </c>
      <c r="AU18" s="623">
        <f>VLOOKUP($C18,Master!$F:$AU,AU$4,FALSE)</f>
        <v>50000</v>
      </c>
      <c r="AW18" s="629"/>
      <c r="AX18" s="631">
        <f>+Master!$K$1</f>
        <v>276</v>
      </c>
      <c r="AY18" s="632">
        <f>+AD18/AX18</f>
        <v>181.15942028985506</v>
      </c>
    </row>
    <row r="19" spans="1:51" s="633" customFormat="1" ht="45" customHeight="1" x14ac:dyDescent="0.3">
      <c r="A19" s="617"/>
      <c r="B19" s="618">
        <v>14</v>
      </c>
      <c r="C19" s="618">
        <v>222</v>
      </c>
      <c r="D19" s="630">
        <f>_xlfn.XLOOKUP(C19,Master[Emp Code],Master[date of last increment])</f>
        <v>0</v>
      </c>
      <c r="E19" s="618">
        <f>_xlfn.XLOOKUP(C19,Master[Emp Code],Master[[last incremnet ]])</f>
        <v>0</v>
      </c>
      <c r="F19" s="618">
        <f>_xlfn.XLOOKUP(C19,Master[Emp Code],Master['# Months Since Last Increment])</f>
        <v>0</v>
      </c>
      <c r="G19" s="619">
        <f>VLOOKUP($C19,Master!$F:$AU,G$4,FALSE)</f>
        <v>43861</v>
      </c>
      <c r="H19" s="618">
        <f>VLOOKUP($C19,Master!$F:$AU,H$4,FALSE)</f>
        <v>0</v>
      </c>
      <c r="I19" s="620" t="str">
        <f>VLOOKUP($C19,Master!$F:$AU,I$4,FALSE)</f>
        <v>Moin Shaikh</v>
      </c>
      <c r="J19" s="621" t="str">
        <f>VLOOKUP($C19,Master!$F:$AU,J$4,FALSE)</f>
        <v>Marketing - SEO</v>
      </c>
      <c r="K19" s="621" t="str">
        <f>VLOOKUP($C19,Master!$F:$AU,K$4,FALSE)</f>
        <v>SEO Intern</v>
      </c>
      <c r="L19" s="621" t="str">
        <f>VLOOKUP($C19,Master!$F:$AU,L$4,FALSE)</f>
        <v>Muhammad Yousuf</v>
      </c>
      <c r="M19" s="622" t="str">
        <f>VLOOKUP($C19,Master!$F:$AU,M$4,FALSE)</f>
        <v>HW</v>
      </c>
      <c r="N19" s="622" t="str">
        <f>VLOOKUP($C19,Master!$F:$AU,N$4,FALSE)</f>
        <v>ALL</v>
      </c>
      <c r="O19" s="618" t="str">
        <f>VLOOKUP($C19,Master!$F:$AU,O$4,FALSE)</f>
        <v>NP</v>
      </c>
      <c r="P19" s="623">
        <f>VLOOKUP($C19,Master!$F:$AU,P$4,FALSE)</f>
        <v>20000</v>
      </c>
      <c r="Q19" s="623">
        <f>VLOOKUP($C19,Master!$F:$AU,Q$4,FALSE)</f>
        <v>12500</v>
      </c>
      <c r="R19" s="623">
        <f>VLOOKUP($C19,Master!$F:$AU,R$4,FALSE)</f>
        <v>5000</v>
      </c>
      <c r="S19" s="623">
        <f>VLOOKUP($C19,Master!$F:$AU,S$4,FALSE)</f>
        <v>1250</v>
      </c>
      <c r="T19" s="623">
        <f>VLOOKUP($C19,Master!$F:$AU,T$4,FALSE)</f>
        <v>1250</v>
      </c>
      <c r="U19" s="623">
        <f>VLOOKUP($C19,Master!$F:$AU,U$4,FALSE)</f>
        <v>20000</v>
      </c>
      <c r="V19" s="624">
        <f>VLOOKUP($C19,Master!$F:$AU,V$4,FALSE)</f>
        <v>0</v>
      </c>
      <c r="W19" s="623">
        <f>VLOOKUP($C19,Master!$F:$AU,W$4,FALSE)</f>
        <v>0</v>
      </c>
      <c r="X19" s="623">
        <f>VLOOKUP($C19,Master!$F:$AU,X$4,FALSE)</f>
        <v>0</v>
      </c>
      <c r="Y19" s="623">
        <f>VLOOKUP($C19,Master!$F:$AU,Y$4,FALSE)</f>
        <v>0</v>
      </c>
      <c r="Z19" s="623">
        <f>VLOOKUP($C19,Master!$F:$AU,Z$4,FALSE)</f>
        <v>0</v>
      </c>
      <c r="AA19" s="625">
        <f>VLOOKUP($C19,Master!$F:$AU,AA$4,FALSE)</f>
        <v>116.95906432748536</v>
      </c>
      <c r="AB19" s="625">
        <f>VLOOKUP($C19,Master!$F:$AU,AB$4,FALSE)</f>
        <v>0</v>
      </c>
      <c r="AC19" s="625">
        <f>VLOOKUP($C19,Master!$F:$AU,AC$4,FALSE)</f>
        <v>0</v>
      </c>
      <c r="AD19" s="623">
        <f>VLOOKUP($C19,Master!$F:$AU,AD$4,FALSE)</f>
        <v>20000</v>
      </c>
      <c r="AE19" s="623">
        <f>VLOOKUP($C19,Master!$F:$AU,AE$4,FALSE)</f>
        <v>0</v>
      </c>
      <c r="AF19" s="623">
        <f>VLOOKUP($C19,Master!$F:$AU,AF$4,FALSE)</f>
        <v>0</v>
      </c>
      <c r="AG19" s="623">
        <f>VLOOKUP($C19,Master!$F:$AU,AG$4,FALSE)</f>
        <v>0</v>
      </c>
      <c r="AH19" s="623">
        <f>VLOOKUP($C19,Master!$F:$AU,AH$4,FALSE)</f>
        <v>0</v>
      </c>
      <c r="AI19" s="626">
        <f>VLOOKUP($C19,Master!$F:$AU,AI$4,FALSE)</f>
        <v>20000</v>
      </c>
      <c r="AJ19" s="623" t="str">
        <f>VLOOKUP($C19,Master!$F:$AU,AJ$4,FALSE)</f>
        <v>Meezan Bank Limited</v>
      </c>
      <c r="AK19" s="627" t="str">
        <f>VLOOKUP($C19,Master!$F:$AU,AK$4,FALSE)</f>
        <v>PK26MEZN0001430109041892</v>
      </c>
      <c r="AL19" s="628">
        <v>4210128184849</v>
      </c>
      <c r="AM19" s="620" t="str">
        <f>VLOOKUP($C19,Master!$F:$AU,AM$4,FALSE)</f>
        <v>MOHAMMAD MOIN UDDIN</v>
      </c>
      <c r="AN19" s="623">
        <f>VLOOKUP($C19,Master!$F:$AU,AN$4,FALSE)</f>
        <v>0</v>
      </c>
      <c r="AO19" s="623">
        <f>VLOOKUP($C19,Master!$F:$AU,AO$4,FALSE)</f>
        <v>0</v>
      </c>
      <c r="AP19" s="623">
        <f>VLOOKUP($C19,Master!$F:$AU,AP$4,FALSE)</f>
        <v>0</v>
      </c>
      <c r="AQ19" s="623">
        <f>VLOOKUP($C19,Master!$F:$AU,AQ$4,FALSE)</f>
        <v>20000</v>
      </c>
      <c r="AR19" s="623">
        <f>VLOOKUP($C19,Master!$F:$AU,AR$4,FALSE)</f>
        <v>0</v>
      </c>
      <c r="AS19" s="673">
        <f>VLOOKUP($C19,Master!$F:$AU,AS$4,FALSE)</f>
        <v>20000</v>
      </c>
      <c r="AT19" s="623">
        <f>VLOOKUP($C19,Master!$F:$AU,AT$4,FALSE)</f>
        <v>0</v>
      </c>
      <c r="AU19" s="623">
        <f>VLOOKUP($C19,Master!$F:$AU,AU$4,FALSE)</f>
        <v>20000</v>
      </c>
      <c r="AV19" s="617"/>
      <c r="AW19" s="629"/>
      <c r="AX19" s="631">
        <f>+Master!$K$1</f>
        <v>276</v>
      </c>
      <c r="AY19" s="632">
        <f>+AD19/AX19</f>
        <v>72.463768115942031</v>
      </c>
    </row>
    <row r="20" spans="1:51" s="617" customFormat="1" ht="45" customHeight="1" x14ac:dyDescent="0.3">
      <c r="B20" s="618"/>
      <c r="C20" s="636"/>
      <c r="D20" s="636"/>
      <c r="E20" s="636"/>
      <c r="F20" s="636"/>
      <c r="G20" s="637"/>
      <c r="H20" s="636"/>
      <c r="I20" s="638"/>
      <c r="J20" s="639"/>
      <c r="K20" s="639"/>
      <c r="L20" s="639"/>
      <c r="M20" s="640"/>
      <c r="N20" s="640"/>
      <c r="O20" s="636"/>
      <c r="P20" s="641">
        <f t="shared" ref="P20" si="9">SUBTOTAL(9,P16:P19)</f>
        <v>130000</v>
      </c>
      <c r="Q20" s="641">
        <f t="shared" ref="Q20" si="10">SUBTOTAL(9,Q16:Q19)</f>
        <v>81250</v>
      </c>
      <c r="R20" s="641">
        <f t="shared" ref="R20" si="11">SUBTOTAL(9,R16:R19)</f>
        <v>32500</v>
      </c>
      <c r="S20" s="641">
        <f t="shared" ref="S20" si="12">SUBTOTAL(9,S16:S19)</f>
        <v>8125</v>
      </c>
      <c r="T20" s="641">
        <f t="shared" ref="T20" si="13">SUBTOTAL(9,T16:T19)</f>
        <v>8125</v>
      </c>
      <c r="U20" s="641">
        <f t="shared" ref="U20" si="14">SUBTOTAL(9,U16:U19)</f>
        <v>130000</v>
      </c>
      <c r="V20" s="641">
        <f>SUBTOTAL(9,V3:V19)</f>
        <v>17</v>
      </c>
      <c r="W20" s="635"/>
      <c r="X20" s="641">
        <f t="shared" ref="X20:AC20" si="15">SUBTOTAL(9,X16:X19)</f>
        <v>0</v>
      </c>
      <c r="Y20" s="635"/>
      <c r="Z20" s="641">
        <f t="shared" si="15"/>
        <v>32368.42105263158</v>
      </c>
      <c r="AA20" s="642">
        <f t="shared" si="15"/>
        <v>760.23391812865509</v>
      </c>
      <c r="AB20" s="642">
        <f t="shared" si="15"/>
        <v>15</v>
      </c>
      <c r="AC20" s="642">
        <f t="shared" si="15"/>
        <v>2192.9824561403511</v>
      </c>
      <c r="AD20" s="641">
        <f>SUBTOTAL(9,AD16:AD19)</f>
        <v>95438.596491228061</v>
      </c>
      <c r="AE20" s="641">
        <f>SUBTOTAL(9,AE16:AE19)</f>
        <v>0</v>
      </c>
      <c r="AF20" s="641">
        <f t="shared" ref="AF20:AU20" si="16">SUBTOTAL(9,AF16:AF19)</f>
        <v>0</v>
      </c>
      <c r="AG20" s="641">
        <f t="shared" si="16"/>
        <v>0</v>
      </c>
      <c r="AH20" s="641">
        <f t="shared" si="16"/>
        <v>0</v>
      </c>
      <c r="AI20" s="643">
        <f t="shared" si="16"/>
        <v>95438.596491228061</v>
      </c>
      <c r="AJ20" s="623">
        <f t="shared" si="16"/>
        <v>0</v>
      </c>
      <c r="AK20" s="627">
        <f t="shared" si="16"/>
        <v>0</v>
      </c>
      <c r="AL20" s="628">
        <f t="shared" si="16"/>
        <v>16870541134582</v>
      </c>
      <c r="AM20" s="620">
        <f t="shared" si="16"/>
        <v>0</v>
      </c>
      <c r="AN20" s="641">
        <f t="shared" si="16"/>
        <v>50000</v>
      </c>
      <c r="AO20" s="641">
        <f t="shared" si="16"/>
        <v>0</v>
      </c>
      <c r="AP20" s="641">
        <f t="shared" si="16"/>
        <v>0</v>
      </c>
      <c r="AQ20" s="641">
        <f t="shared" si="16"/>
        <v>20000</v>
      </c>
      <c r="AR20" s="641">
        <f t="shared" si="16"/>
        <v>0</v>
      </c>
      <c r="AS20" s="643">
        <f t="shared" si="16"/>
        <v>70000</v>
      </c>
      <c r="AT20" s="641">
        <f t="shared" si="16"/>
        <v>25438.596491228069</v>
      </c>
      <c r="AU20" s="641">
        <f t="shared" si="16"/>
        <v>95438.596491228061</v>
      </c>
      <c r="AW20" s="629"/>
      <c r="AY20" s="641">
        <f t="shared" ref="AY20" si="17">SUBTOTAL(9,AY16:AY19)</f>
        <v>345.79201627256543</v>
      </c>
    </row>
    <row r="21" spans="1:51" s="617" customFormat="1" ht="45" customHeight="1" x14ac:dyDescent="0.3">
      <c r="B21" s="618"/>
      <c r="C21" s="618"/>
      <c r="D21" s="630"/>
      <c r="E21" s="618"/>
      <c r="F21" s="618"/>
      <c r="G21" s="630"/>
      <c r="H21" s="618"/>
      <c r="I21" s="620"/>
      <c r="J21" s="620"/>
      <c r="K21" s="621"/>
      <c r="L21" s="620"/>
      <c r="M21" s="622"/>
      <c r="N21" s="622"/>
      <c r="O21" s="618"/>
      <c r="P21" s="623"/>
      <c r="Q21" s="623"/>
      <c r="R21" s="623"/>
      <c r="S21" s="623"/>
      <c r="T21" s="623"/>
      <c r="U21" s="623"/>
      <c r="V21" s="624"/>
      <c r="W21" s="623"/>
      <c r="X21" s="623"/>
      <c r="Y21" s="623"/>
      <c r="Z21" s="623"/>
      <c r="AA21" s="625"/>
      <c r="AB21" s="625"/>
      <c r="AC21" s="625"/>
      <c r="AD21" s="623"/>
      <c r="AE21" s="623"/>
      <c r="AF21" s="623"/>
      <c r="AG21" s="623"/>
      <c r="AH21" s="623"/>
      <c r="AI21" s="626"/>
      <c r="AJ21" s="623"/>
      <c r="AK21" s="627"/>
      <c r="AL21" s="628"/>
      <c r="AM21" s="620"/>
      <c r="AN21" s="623"/>
      <c r="AO21" s="623"/>
      <c r="AP21" s="623"/>
      <c r="AQ21" s="623"/>
      <c r="AR21" s="623"/>
      <c r="AS21" s="673"/>
      <c r="AT21" s="623"/>
      <c r="AU21" s="623"/>
      <c r="AW21" s="629"/>
      <c r="AX21" s="631"/>
      <c r="AY21" s="632"/>
    </row>
    <row r="22" spans="1:51" s="617" customFormat="1" ht="45" customHeight="1" x14ac:dyDescent="0.3">
      <c r="B22" s="618">
        <v>6</v>
      </c>
      <c r="C22" s="618">
        <v>18</v>
      </c>
      <c r="D22" s="630">
        <f>_xlfn.XLOOKUP(C22,Master[Emp Code],Master[date of last increment])</f>
        <v>43555</v>
      </c>
      <c r="E22" s="618">
        <f>_xlfn.XLOOKUP(C22,Master[Emp Code],Master[[last incremnet ]])</f>
        <v>50000</v>
      </c>
      <c r="F22" s="618">
        <f>_xlfn.XLOOKUP(C22,Master[Emp Code],Master['# Months Since Last Increment])</f>
        <v>13</v>
      </c>
      <c r="G22" s="630">
        <f>VLOOKUP($C22,Master!$F:$AU,G$4,FALSE)</f>
        <v>42618</v>
      </c>
      <c r="H22" s="618" t="str">
        <f>VLOOKUP($C22,Master!$F:$AU,H$4,FALSE)</f>
        <v>CT</v>
      </c>
      <c r="I22" s="620" t="str">
        <f>VLOOKUP($C22,Master!$F:$AU,I$4,FALSE)</f>
        <v>Umair Kaim Khani</v>
      </c>
      <c r="J22" s="620" t="str">
        <f>VLOOKUP($C22,Master!$F:$AU,J$4,FALSE)</f>
        <v>Marketing</v>
      </c>
      <c r="K22" s="621" t="str">
        <f>VLOOKUP($C22,Master!$F:$AU,K$4,FALSE)</f>
        <v>Project Coordinator</v>
      </c>
      <c r="L22" s="620" t="str">
        <f>VLOOKUP($C22,Master!$F:$AU,L$4,FALSE)</f>
        <v>Wahaj Qureshi</v>
      </c>
      <c r="M22" s="622" t="str">
        <f>VLOOKUP($C22,Master!$F:$AU,M$4,FALSE)</f>
        <v>HW</v>
      </c>
      <c r="N22" s="622" t="str">
        <f>VLOOKUP($C22,Master!$F:$AU,N$4,FALSE)</f>
        <v>ALL</v>
      </c>
      <c r="O22" s="618" t="str">
        <f>VLOOKUP($C22,Master!$F:$AU,O$4,FALSE)</f>
        <v>P</v>
      </c>
      <c r="P22" s="623">
        <f>VLOOKUP($C22,Master!$F:$AU,P$4,FALSE)</f>
        <v>200000</v>
      </c>
      <c r="Q22" s="623">
        <f>VLOOKUP($C22,Master!$F:$AU,Q$4,FALSE)</f>
        <v>125000</v>
      </c>
      <c r="R22" s="623">
        <f>VLOOKUP($C22,Master!$F:$AU,R$4,FALSE)</f>
        <v>50000</v>
      </c>
      <c r="S22" s="623">
        <f>VLOOKUP($C22,Master!$F:$AU,S$4,FALSE)</f>
        <v>12500</v>
      </c>
      <c r="T22" s="623">
        <f>VLOOKUP($C22,Master!$F:$AU,T$4,FALSE)</f>
        <v>87500</v>
      </c>
      <c r="U22" s="623">
        <f>VLOOKUP($C22,Master!$F:$AU,U$4,FALSE)</f>
        <v>275000</v>
      </c>
      <c r="V22" s="624">
        <f>VLOOKUP($C22,Master!$F:$AU,V$4,FALSE)</f>
        <v>0</v>
      </c>
      <c r="W22" s="623">
        <f>VLOOKUP($C22,Master!$F:$AU,W$4,FALSE)</f>
        <v>0</v>
      </c>
      <c r="X22" s="623">
        <f>VLOOKUP($C22,Master!$F:$AU,X$4,FALSE)</f>
        <v>0</v>
      </c>
      <c r="Y22" s="623">
        <f>VLOOKUP($C22,Master!$F:$AU,Y$4,FALSE)</f>
        <v>0</v>
      </c>
      <c r="Z22" s="623">
        <f>VLOOKUP($C22,Master!$F:$AU,Z$4,FALSE)</f>
        <v>0</v>
      </c>
      <c r="AA22" s="625">
        <f>VLOOKUP($C22,Master!$F:$AU,AA$4,FALSE)</f>
        <v>1169.5906432748538</v>
      </c>
      <c r="AB22" s="625">
        <f>VLOOKUP($C22,Master!$F:$AU,AB$4,FALSE)</f>
        <v>0</v>
      </c>
      <c r="AC22" s="625">
        <f>VLOOKUP($C22,Master!$F:$AU,AC$4,FALSE)</f>
        <v>0</v>
      </c>
      <c r="AD22" s="623">
        <f>VLOOKUP($C22,Master!$F:$AU,AD$4,FALSE)</f>
        <v>275000</v>
      </c>
      <c r="AE22" s="623">
        <f>VLOOKUP($C22,Master!$F:$AU,AE$4,FALSE)</f>
        <v>9790</v>
      </c>
      <c r="AF22" s="623">
        <f>VLOOKUP($C22,Master!$F:$AU,AF$4,FALSE)</f>
        <v>250</v>
      </c>
      <c r="AG22" s="623">
        <f>VLOOKUP($C22,Master!$F:$AU,AG$4,FALSE)</f>
        <v>75000</v>
      </c>
      <c r="AH22" s="623">
        <f>VLOOKUP($C22,Master!$F:$AU,AH$4,FALSE)</f>
        <v>0</v>
      </c>
      <c r="AI22" s="626">
        <f>VLOOKUP($C22,Master!$F:$AU,AI$4,FALSE)</f>
        <v>189960</v>
      </c>
      <c r="AJ22" s="623" t="str">
        <f>VLOOKUP($C22,Master!$F:$AU,AJ$4,FALSE)</f>
        <v>Habib Bank Limited</v>
      </c>
      <c r="AK22" s="627" t="str">
        <f>VLOOKUP($C22,Master!$F:$AU,AK$4,FALSE)</f>
        <v>0017-79008182-03</v>
      </c>
      <c r="AL22" s="628">
        <v>4220137649911</v>
      </c>
      <c r="AM22" s="620" t="str">
        <f>VLOOKUP($C22,Master!$F:$AU,AM$4,FALSE)</f>
        <v>Muhammad Umair</v>
      </c>
      <c r="AN22" s="623">
        <f>VLOOKUP($C22,Master!$F:$AU,AN$4,FALSE)</f>
        <v>189960</v>
      </c>
      <c r="AO22" s="623">
        <f>VLOOKUP($C22,Master!$F:$AU,AO$4,FALSE)</f>
        <v>0</v>
      </c>
      <c r="AP22" s="623">
        <f>VLOOKUP($C22,Master!$F:$AU,AP$4,FALSE)</f>
        <v>0</v>
      </c>
      <c r="AQ22" s="623">
        <f>VLOOKUP($C22,Master!$F:$AU,AQ$4,FALSE)</f>
        <v>0</v>
      </c>
      <c r="AR22" s="623">
        <f>VLOOKUP($C22,Master!$F:$AU,AR$4,FALSE)</f>
        <v>0</v>
      </c>
      <c r="AS22" s="673">
        <f>VLOOKUP($C22,Master!$F:$AU,AS$4,FALSE)</f>
        <v>189960</v>
      </c>
      <c r="AT22" s="623">
        <f>VLOOKUP($C22,Master!$F:$AU,AT$4,FALSE)</f>
        <v>0</v>
      </c>
      <c r="AU22" s="623">
        <f>VLOOKUP($C22,Master!$F:$AU,AU$4,FALSE)</f>
        <v>189960</v>
      </c>
      <c r="AW22" s="629"/>
      <c r="AX22" s="631">
        <f>+Master!$K$1</f>
        <v>276</v>
      </c>
      <c r="AY22" s="632">
        <f t="shared" si="0"/>
        <v>996.37681159420288</v>
      </c>
    </row>
    <row r="23" spans="1:51" s="617" customFormat="1" ht="45" customHeight="1" x14ac:dyDescent="0.3">
      <c r="B23" s="618"/>
      <c r="C23" s="636"/>
      <c r="D23" s="636"/>
      <c r="E23" s="636"/>
      <c r="F23" s="636"/>
      <c r="G23" s="637"/>
      <c r="H23" s="636"/>
      <c r="I23" s="638"/>
      <c r="J23" s="639"/>
      <c r="K23" s="639"/>
      <c r="L23" s="639"/>
      <c r="M23" s="640"/>
      <c r="N23" s="640"/>
      <c r="O23" s="636"/>
      <c r="P23" s="641">
        <f>SUBTOTAL(9,P22:P22)</f>
        <v>200000</v>
      </c>
      <c r="Q23" s="641">
        <f>SUBTOTAL(9,Q6:Q22)</f>
        <v>356250</v>
      </c>
      <c r="R23" s="641">
        <f>SUBTOTAL(9,R6:R22)</f>
        <v>142500</v>
      </c>
      <c r="S23" s="641">
        <f>SUBTOTAL(9,S6:S22)</f>
        <v>35625</v>
      </c>
      <c r="T23" s="641">
        <f>SUBTOTAL(9,T6:T22)</f>
        <v>110625</v>
      </c>
      <c r="U23" s="641">
        <f>SUBTOTAL(9,U22:U22)</f>
        <v>275000</v>
      </c>
      <c r="V23" s="641">
        <f>SUBTOTAL(9,V6:V22)</f>
        <v>0</v>
      </c>
      <c r="W23" s="635"/>
      <c r="X23" s="641">
        <f>SUBTOTAL(9,X22:X22)</f>
        <v>0</v>
      </c>
      <c r="Y23" s="635"/>
      <c r="Z23" s="641">
        <f>SUBTOTAL(9,Z22:Z22)</f>
        <v>0</v>
      </c>
      <c r="AA23" s="642"/>
      <c r="AB23" s="642"/>
      <c r="AC23" s="642"/>
      <c r="AD23" s="641">
        <f t="shared" ref="AD23:AU23" si="18">SUBTOTAL(9,AD22:AD22)</f>
        <v>275000</v>
      </c>
      <c r="AE23" s="641">
        <f t="shared" si="18"/>
        <v>9790</v>
      </c>
      <c r="AF23" s="641">
        <f t="shared" si="18"/>
        <v>250</v>
      </c>
      <c r="AG23" s="641">
        <f t="shared" si="18"/>
        <v>75000</v>
      </c>
      <c r="AH23" s="641">
        <f t="shared" si="18"/>
        <v>0</v>
      </c>
      <c r="AI23" s="643">
        <f t="shared" si="18"/>
        <v>189960</v>
      </c>
      <c r="AJ23" s="623">
        <f t="shared" si="18"/>
        <v>0</v>
      </c>
      <c r="AK23" s="627">
        <f t="shared" si="18"/>
        <v>0</v>
      </c>
      <c r="AL23" s="628">
        <f t="shared" si="18"/>
        <v>4220137649911</v>
      </c>
      <c r="AM23" s="620">
        <f t="shared" si="18"/>
        <v>0</v>
      </c>
      <c r="AN23" s="641">
        <f t="shared" si="18"/>
        <v>189960</v>
      </c>
      <c r="AO23" s="641">
        <f t="shared" si="18"/>
        <v>0</v>
      </c>
      <c r="AP23" s="641">
        <f t="shared" si="18"/>
        <v>0</v>
      </c>
      <c r="AQ23" s="641">
        <f t="shared" si="18"/>
        <v>0</v>
      </c>
      <c r="AR23" s="641">
        <f t="shared" si="18"/>
        <v>0</v>
      </c>
      <c r="AS23" s="643">
        <f t="shared" si="18"/>
        <v>189960</v>
      </c>
      <c r="AT23" s="641">
        <f t="shared" si="18"/>
        <v>0</v>
      </c>
      <c r="AU23" s="641">
        <f t="shared" si="18"/>
        <v>189960</v>
      </c>
      <c r="AW23" s="629"/>
      <c r="AY23" s="641">
        <f>SUBTOTAL(9,AY22:AY22)</f>
        <v>996.37681159420288</v>
      </c>
    </row>
    <row r="24" spans="1:51" s="617" customFormat="1" ht="45" customHeight="1" x14ac:dyDescent="0.3">
      <c r="B24" s="618"/>
      <c r="C24" s="618"/>
      <c r="D24" s="618"/>
      <c r="E24" s="618"/>
      <c r="F24" s="618"/>
      <c r="G24" s="619"/>
      <c r="H24" s="618"/>
      <c r="I24" s="620"/>
      <c r="J24" s="621"/>
      <c r="K24" s="621"/>
      <c r="L24" s="621"/>
      <c r="M24" s="622"/>
      <c r="N24" s="622"/>
      <c r="O24" s="618"/>
      <c r="P24" s="623"/>
      <c r="Q24" s="623"/>
      <c r="R24" s="623"/>
      <c r="S24" s="623"/>
      <c r="T24" s="623"/>
      <c r="U24" s="623"/>
      <c r="V24" s="624"/>
      <c r="W24" s="623"/>
      <c r="X24" s="623"/>
      <c r="Y24" s="623"/>
      <c r="Z24" s="623"/>
      <c r="AA24" s="625"/>
      <c r="AB24" s="625"/>
      <c r="AC24" s="625"/>
      <c r="AD24" s="623"/>
      <c r="AE24" s="623"/>
      <c r="AF24" s="623"/>
      <c r="AG24" s="623"/>
      <c r="AH24" s="623"/>
      <c r="AI24" s="626"/>
      <c r="AJ24" s="623"/>
      <c r="AK24" s="627"/>
      <c r="AL24" s="628"/>
      <c r="AM24" s="620"/>
      <c r="AN24" s="623"/>
      <c r="AO24" s="623"/>
      <c r="AP24" s="623"/>
      <c r="AQ24" s="623"/>
      <c r="AR24" s="623"/>
      <c r="AS24" s="673"/>
      <c r="AT24" s="623"/>
      <c r="AU24" s="623"/>
      <c r="AW24" s="629"/>
    </row>
    <row r="25" spans="1:51" s="617" customFormat="1" ht="45" customHeight="1" x14ac:dyDescent="0.3">
      <c r="B25" s="618">
        <v>15</v>
      </c>
      <c r="C25" s="618">
        <v>70</v>
      </c>
      <c r="D25" s="630">
        <f>_xlfn.XLOOKUP(C25,Master[Emp Code],Master[date of last increment])</f>
        <v>43677</v>
      </c>
      <c r="E25" s="618">
        <f>_xlfn.XLOOKUP(C25,Master[Emp Code],Master[[last incremnet ]])</f>
        <v>25000</v>
      </c>
      <c r="F25" s="618">
        <f>_xlfn.XLOOKUP(C25,Master[Emp Code],Master['# Months Since Last Increment])</f>
        <v>9</v>
      </c>
      <c r="G25" s="619">
        <f>VLOOKUP($C25,Master!$F:$AU,G$4,FALSE)</f>
        <v>42808</v>
      </c>
      <c r="H25" s="618" t="str">
        <f>VLOOKUP($C25,Master!$F:$AU,H$4,FALSE)</f>
        <v>CT</v>
      </c>
      <c r="I25" s="620" t="str">
        <f>VLOOKUP($C25,Master!$F:$AU,I$4,FALSE)</f>
        <v>Khawaja Muhammad Ali</v>
      </c>
      <c r="J25" s="621" t="str">
        <f>VLOOKUP($C25,Master!$F:$AU,J$4,FALSE)</f>
        <v>Procurement</v>
      </c>
      <c r="K25" s="621" t="str">
        <f>VLOOKUP($C25,Master!$F:$AU,K$4,FALSE)</f>
        <v>Procurrement Executive</v>
      </c>
      <c r="L25" s="621" t="str">
        <f>VLOOKUP($C25,Master!$F:$AU,L$4,FALSE)</f>
        <v>Wahaj Qureshi</v>
      </c>
      <c r="M25" s="622" t="str">
        <f>VLOOKUP($C25,Master!$F:$AU,M$4,FALSE)</f>
        <v>HW</v>
      </c>
      <c r="N25" s="622" t="str">
        <f>VLOOKUP($C25,Master!$F:$AU,N$4,FALSE)</f>
        <v>BD</v>
      </c>
      <c r="O25" s="618" t="str">
        <f>VLOOKUP($C25,Master!$F:$AU,O$4,FALSE)</f>
        <v>P</v>
      </c>
      <c r="P25" s="623">
        <f>VLOOKUP($C25,Master!$F:$AU,P$4,FALSE)</f>
        <v>125000</v>
      </c>
      <c r="Q25" s="623">
        <f>VLOOKUP($C25,Master!$F:$AU,Q$4,FALSE)</f>
        <v>78125</v>
      </c>
      <c r="R25" s="623">
        <f>VLOOKUP($C25,Master!$F:$AU,R$4,FALSE)</f>
        <v>31250</v>
      </c>
      <c r="S25" s="623">
        <f>VLOOKUP($C25,Master!$F:$AU,S$4,FALSE)</f>
        <v>7812.5</v>
      </c>
      <c r="T25" s="623">
        <f>VLOOKUP($C25,Master!$F:$AU,T$4,FALSE)</f>
        <v>92812.5</v>
      </c>
      <c r="U25" s="623">
        <f>VLOOKUP($C25,Master!$F:$AU,U$4,FALSE)</f>
        <v>210000</v>
      </c>
      <c r="V25" s="624">
        <f>VLOOKUP($C25,Master!$F:$AU,V$4,FALSE)</f>
        <v>0</v>
      </c>
      <c r="W25" s="623">
        <f>VLOOKUP($C25,Master!$F:$AU,W$4,FALSE)</f>
        <v>0</v>
      </c>
      <c r="X25" s="623">
        <f>VLOOKUP($C25,Master!$F:$AU,X$4,FALSE)</f>
        <v>0</v>
      </c>
      <c r="Y25" s="623">
        <f>VLOOKUP($C25,Master!$F:$AU,Y$4,FALSE)</f>
        <v>0</v>
      </c>
      <c r="Z25" s="623">
        <f>VLOOKUP($C25,Master!$F:$AU,Z$4,FALSE)</f>
        <v>0</v>
      </c>
      <c r="AA25" s="625">
        <f>VLOOKUP($C25,Master!$F:$AU,AA$4,FALSE)</f>
        <v>694.44444444444446</v>
      </c>
      <c r="AB25" s="625">
        <f>VLOOKUP($C25,Master!$F:$AU,AB$4,FALSE)</f>
        <v>0</v>
      </c>
      <c r="AC25" s="625">
        <f>VLOOKUP($C25,Master!$F:$AU,AC$4,FALSE)</f>
        <v>0</v>
      </c>
      <c r="AD25" s="623">
        <f>VLOOKUP($C25,Master!$F:$AU,AD$4,FALSE)</f>
        <v>210000</v>
      </c>
      <c r="AE25" s="623">
        <f>VLOOKUP($C25,Master!$F:$AU,AE$4,FALSE)</f>
        <v>1941.2</v>
      </c>
      <c r="AF25" s="623">
        <f>VLOOKUP($C25,Master!$F:$AU,AF$4,FALSE)</f>
        <v>250</v>
      </c>
      <c r="AG25" s="623">
        <f>VLOOKUP($C25,Master!$F:$AU,AG$4,FALSE)</f>
        <v>85000</v>
      </c>
      <c r="AH25" s="623">
        <f>VLOOKUP($C25,Master!$F:$AU,AH$4,FALSE)</f>
        <v>0</v>
      </c>
      <c r="AI25" s="626">
        <f>VLOOKUP($C25,Master!$F:$AU,AI$4,FALSE)</f>
        <v>122808.79999999999</v>
      </c>
      <c r="AJ25" s="623" t="str">
        <f>VLOOKUP($C25,Master!$F:$AU,AJ$4,FALSE)</f>
        <v>Habib Bank Limited</v>
      </c>
      <c r="AK25" s="627" t="str">
        <f>VLOOKUP($C25,Master!$F:$AU,AK$4,FALSE)</f>
        <v>0017-79008153-03</v>
      </c>
      <c r="AL25" s="628" t="str">
        <f>VLOOKUP($C25,Master!$F:$AU,AL$4,FALSE)</f>
        <v>42301-6647406-1</v>
      </c>
      <c r="AM25" s="620" t="str">
        <f>VLOOKUP($C25,Master!$F:$AU,AM$4,FALSE)</f>
        <v>Khawaja</v>
      </c>
      <c r="AN25" s="623">
        <f>VLOOKUP($C25,Master!$F:$AU,AN$4,FALSE)</f>
        <v>122808.79999999999</v>
      </c>
      <c r="AO25" s="623">
        <f>VLOOKUP($C25,Master!$F:$AU,AO$4,FALSE)</f>
        <v>0</v>
      </c>
      <c r="AP25" s="623">
        <f>VLOOKUP($C25,Master!$F:$AU,AP$4,FALSE)</f>
        <v>0</v>
      </c>
      <c r="AQ25" s="623">
        <f>VLOOKUP($C25,Master!$F:$AU,AQ$4,FALSE)</f>
        <v>0</v>
      </c>
      <c r="AR25" s="623">
        <f>VLOOKUP($C25,Master!$F:$AU,AR$4,FALSE)</f>
        <v>0</v>
      </c>
      <c r="AS25" s="673">
        <f>VLOOKUP($C25,Master!$F:$AU,AS$4,FALSE)</f>
        <v>122808.79999999999</v>
      </c>
      <c r="AT25" s="623">
        <f>VLOOKUP($C25,Master!$F:$AU,AT$4,FALSE)</f>
        <v>0</v>
      </c>
      <c r="AU25" s="623">
        <f>VLOOKUP($C25,Master!$F:$AU,AU$4,FALSE)</f>
        <v>122808.79999999999</v>
      </c>
      <c r="AW25" s="629"/>
      <c r="AX25" s="631">
        <f>+Master!$K$1</f>
        <v>276</v>
      </c>
      <c r="AY25" s="632">
        <f t="shared" ref="AY25:AY32" si="19">+AD25/AX25</f>
        <v>760.86956521739125</v>
      </c>
    </row>
    <row r="26" spans="1:51" s="617" customFormat="1" ht="45" customHeight="1" x14ac:dyDescent="0.3">
      <c r="B26" s="618">
        <f>+B25+1</f>
        <v>16</v>
      </c>
      <c r="C26" s="618">
        <v>113</v>
      </c>
      <c r="D26" s="630">
        <f>_xlfn.XLOOKUP(C26,Master[Emp Code],Master[date of last increment])</f>
        <v>43708</v>
      </c>
      <c r="E26" s="618">
        <f>_xlfn.XLOOKUP(C26,Master[Emp Code],Master[[last incremnet ]])</f>
        <v>15000</v>
      </c>
      <c r="F26" s="618">
        <f>_xlfn.XLOOKUP(C26,Master[Emp Code],Master['# Months Since Last Increment])</f>
        <v>8</v>
      </c>
      <c r="G26" s="619">
        <f>VLOOKUP($C26,Master!$F:$AU,G$4,FALSE)</f>
        <v>43109</v>
      </c>
      <c r="H26" s="618" t="str">
        <f>VLOOKUP($C26,Master!$F:$AU,H$4,FALSE)</f>
        <v>CT</v>
      </c>
      <c r="I26" s="620" t="str">
        <f>VLOOKUP($C26,Master!$F:$AU,I$4,FALSE)</f>
        <v>Affan Khan</v>
      </c>
      <c r="J26" s="621" t="str">
        <f>VLOOKUP($C26,Master!$F:$AU,J$4,FALSE)</f>
        <v>Procurement</v>
      </c>
      <c r="K26" s="621" t="str">
        <f>VLOOKUP($C26,Master!$F:$AU,K$4,FALSE)</f>
        <v>Procurrement Executive</v>
      </c>
      <c r="L26" s="621" t="str">
        <f>VLOOKUP($C26,Master!$F:$AU,L$4,FALSE)</f>
        <v>Khawaja</v>
      </c>
      <c r="M26" s="622" t="str">
        <f>VLOOKUP($C26,Master!$F:$AU,M$4,FALSE)</f>
        <v>HW</v>
      </c>
      <c r="N26" s="622" t="str">
        <f>VLOOKUP($C26,Master!$F:$AU,N$4,FALSE)</f>
        <v>BD</v>
      </c>
      <c r="O26" s="618" t="str">
        <f>VLOOKUP($C26,Master!$F:$AU,O$4,FALSE)</f>
        <v>P</v>
      </c>
      <c r="P26" s="623">
        <f>VLOOKUP($C26,Master!$F:$AU,P$4,FALSE)</f>
        <v>50000</v>
      </c>
      <c r="Q26" s="623">
        <f>VLOOKUP($C26,Master!$F:$AU,Q$4,FALSE)</f>
        <v>31250</v>
      </c>
      <c r="R26" s="623">
        <f>VLOOKUP($C26,Master!$F:$AU,R$4,FALSE)</f>
        <v>12500</v>
      </c>
      <c r="S26" s="623">
        <f>VLOOKUP($C26,Master!$F:$AU,S$4,FALSE)</f>
        <v>3125</v>
      </c>
      <c r="T26" s="623">
        <f>VLOOKUP($C26,Master!$F:$AU,T$4,FALSE)</f>
        <v>3125</v>
      </c>
      <c r="U26" s="623">
        <f>VLOOKUP($C26,Master!$F:$AU,U$4,FALSE)</f>
        <v>50000</v>
      </c>
      <c r="V26" s="624">
        <f>VLOOKUP($C26,Master!$F:$AU,V$4,FALSE)</f>
        <v>0</v>
      </c>
      <c r="W26" s="623">
        <f>VLOOKUP($C26,Master!$F:$AU,W$4,FALSE)</f>
        <v>0</v>
      </c>
      <c r="X26" s="623">
        <f>VLOOKUP($C26,Master!$F:$AU,X$4,FALSE)</f>
        <v>0</v>
      </c>
      <c r="Y26" s="623">
        <f>VLOOKUP($C26,Master!$F:$AU,Y$4,FALSE)</f>
        <v>0</v>
      </c>
      <c r="Z26" s="623">
        <f>VLOOKUP($C26,Master!$F:$AU,Z$4,FALSE)</f>
        <v>0</v>
      </c>
      <c r="AA26" s="625">
        <f>VLOOKUP($C26,Master!$F:$AU,AA$4,FALSE)</f>
        <v>277.77777777777777</v>
      </c>
      <c r="AB26" s="625">
        <f>VLOOKUP($C26,Master!$F:$AU,AB$4,FALSE)</f>
        <v>0</v>
      </c>
      <c r="AC26" s="625">
        <f>VLOOKUP($C26,Master!$F:$AU,AC$4,FALSE)</f>
        <v>0</v>
      </c>
      <c r="AD26" s="623">
        <f>VLOOKUP($C26,Master!$F:$AU,AD$4,FALSE)</f>
        <v>50000</v>
      </c>
      <c r="AE26" s="623">
        <f>VLOOKUP($C26,Master!$F:$AU,AE$4,FALSE)</f>
        <v>0</v>
      </c>
      <c r="AF26" s="623">
        <f>VLOOKUP($C26,Master!$F:$AU,AF$4,FALSE)</f>
        <v>0</v>
      </c>
      <c r="AG26" s="623">
        <f>VLOOKUP($C26,Master!$F:$AU,AG$4,FALSE)</f>
        <v>0</v>
      </c>
      <c r="AH26" s="623">
        <f>VLOOKUP($C26,Master!$F:$AU,AH$4,FALSE)</f>
        <v>0</v>
      </c>
      <c r="AI26" s="626">
        <f>VLOOKUP($C26,Master!$F:$AU,AI$4,FALSE)</f>
        <v>50000</v>
      </c>
      <c r="AJ26" s="623" t="str">
        <f>VLOOKUP($C26,Master!$F:$AU,AJ$4,FALSE)</f>
        <v>Habib Bank Limited</v>
      </c>
      <c r="AK26" s="627" t="str">
        <f>VLOOKUP($C26,Master!$F:$AU,AK$4,FALSE)</f>
        <v>0017-79008738-03</v>
      </c>
      <c r="AL26" s="628">
        <v>4210149618125</v>
      </c>
      <c r="AM26" s="620" t="str">
        <f>VLOOKUP($C26,Master!$F:$AU,AM$4,FALSE)</f>
        <v>AFFAN KHAN</v>
      </c>
      <c r="AN26" s="623">
        <f>VLOOKUP($C26,Master!$F:$AU,AN$4,FALSE)</f>
        <v>50000</v>
      </c>
      <c r="AO26" s="623">
        <f>VLOOKUP($C26,Master!$F:$AU,AO$4,FALSE)</f>
        <v>0</v>
      </c>
      <c r="AP26" s="623">
        <f>VLOOKUP($C26,Master!$F:$AU,AP$4,FALSE)</f>
        <v>0</v>
      </c>
      <c r="AQ26" s="623">
        <f>VLOOKUP($C26,Master!$F:$AU,AQ$4,FALSE)</f>
        <v>0</v>
      </c>
      <c r="AR26" s="623">
        <f>VLOOKUP($C26,Master!$F:$AU,AR$4,FALSE)</f>
        <v>0</v>
      </c>
      <c r="AS26" s="673">
        <f>VLOOKUP($C26,Master!$F:$AU,AS$4,FALSE)</f>
        <v>50000</v>
      </c>
      <c r="AT26" s="623">
        <f>VLOOKUP($C26,Master!$F:$AU,AT$4,FALSE)</f>
        <v>0</v>
      </c>
      <c r="AU26" s="623">
        <f>VLOOKUP($C26,Master!$F:$AU,AU$4,FALSE)</f>
        <v>50000</v>
      </c>
      <c r="AW26" s="629"/>
      <c r="AX26" s="631">
        <f>+Master!$K$1</f>
        <v>276</v>
      </c>
      <c r="AY26" s="632">
        <f t="shared" si="19"/>
        <v>181.15942028985506</v>
      </c>
    </row>
    <row r="27" spans="1:51" s="644" customFormat="1" ht="45" customHeight="1" x14ac:dyDescent="0.3">
      <c r="B27" s="645">
        <f t="shared" ref="B27:B29" si="20">+B26+1</f>
        <v>17</v>
      </c>
      <c r="C27" s="645">
        <v>82</v>
      </c>
      <c r="D27" s="646">
        <f>_xlfn.XLOOKUP(C27,Master[Emp Code],Master[date of last increment])</f>
        <v>43890</v>
      </c>
      <c r="E27" s="645">
        <f>_xlfn.XLOOKUP(C27,Master[Emp Code],Master[[last incremnet ]])</f>
        <v>15000</v>
      </c>
      <c r="F27" s="645">
        <f>_xlfn.XLOOKUP(C27,Master[Emp Code],Master['# Months Since Last Increment])</f>
        <v>2</v>
      </c>
      <c r="G27" s="647">
        <f>VLOOKUP($C27,Master!$F:$AU,G$4,FALSE)</f>
        <v>42874</v>
      </c>
      <c r="H27" s="645" t="str">
        <f>VLOOKUP($C27,Master!$F:$AU,H$4,FALSE)</f>
        <v>CT</v>
      </c>
      <c r="I27" s="648" t="str">
        <f>VLOOKUP($C27,Master!$F:$AU,I$4,FALSE)</f>
        <v>Fatima Hasan</v>
      </c>
      <c r="J27" s="649" t="str">
        <f>VLOOKUP($C27,Master!$F:$AU,J$4,FALSE)</f>
        <v>Sales</v>
      </c>
      <c r="K27" s="649" t="str">
        <f>VLOOKUP($C27,Master!$F:$AU,K$4,FALSE)</f>
        <v>International Sales Executive</v>
      </c>
      <c r="L27" s="649" t="str">
        <f>VLOOKUP($C27,Master!$F:$AU,L$4,FALSE)</f>
        <v>Husnain</v>
      </c>
      <c r="M27" s="650" t="str">
        <f>VLOOKUP($C27,Master!$F:$AU,M$4,FALSE)</f>
        <v>HW</v>
      </c>
      <c r="N27" s="650" t="str">
        <f>VLOOKUP($C27,Master!$F:$AU,N$4,FALSE)</f>
        <v>BD</v>
      </c>
      <c r="O27" s="645" t="str">
        <f>VLOOKUP($C27,Master!$F:$AU,O$4,FALSE)</f>
        <v>P</v>
      </c>
      <c r="P27" s="651">
        <f>VLOOKUP($C27,Master!$F:$AU,P$4,FALSE)</f>
        <v>90000</v>
      </c>
      <c r="Q27" s="651">
        <f>VLOOKUP($C27,Master!$F:$AU,Q$4,FALSE)</f>
        <v>56250</v>
      </c>
      <c r="R27" s="651">
        <f>VLOOKUP($C27,Master!$F:$AU,R$4,FALSE)</f>
        <v>22500</v>
      </c>
      <c r="S27" s="651">
        <f>VLOOKUP($C27,Master!$F:$AU,S$4,FALSE)</f>
        <v>5625</v>
      </c>
      <c r="T27" s="651">
        <f>VLOOKUP($C27,Master!$F:$AU,T$4,FALSE)</f>
        <v>5625</v>
      </c>
      <c r="U27" s="651">
        <f>VLOOKUP($C27,Master!$F:$AU,U$4,FALSE)</f>
        <v>90000</v>
      </c>
      <c r="V27" s="652">
        <f>VLOOKUP($C27,Master!$F:$AU,V$4,FALSE)</f>
        <v>0</v>
      </c>
      <c r="W27" s="651">
        <f>VLOOKUP($C27,Master!$F:$AU,W$4,FALSE)</f>
        <v>0</v>
      </c>
      <c r="X27" s="651">
        <f>VLOOKUP($C27,Master!$F:$AU,X$4,FALSE)</f>
        <v>0</v>
      </c>
      <c r="Y27" s="651">
        <f>VLOOKUP($C27,Master!$F:$AU,Y$4,FALSE)</f>
        <v>0</v>
      </c>
      <c r="Z27" s="651">
        <f>VLOOKUP($C27,Master!$F:$AU,Z$4,FALSE)</f>
        <v>0</v>
      </c>
      <c r="AA27" s="653">
        <f>VLOOKUP($C27,Master!$F:$AU,AA$4,FALSE)</f>
        <v>500</v>
      </c>
      <c r="AB27" s="653">
        <f>VLOOKUP($C27,Master!$F:$AU,AB$4,FALSE)</f>
        <v>0</v>
      </c>
      <c r="AC27" s="653">
        <f>VLOOKUP($C27,Master!$F:$AU,AC$4,FALSE)</f>
        <v>0</v>
      </c>
      <c r="AD27" s="651">
        <f>VLOOKUP($C27,Master!$F:$AU,AD$4,FALSE)</f>
        <v>90000</v>
      </c>
      <c r="AE27" s="651">
        <f>VLOOKUP($C27,Master!$F:$AU,AE$4,FALSE)</f>
        <v>671.5</v>
      </c>
      <c r="AF27" s="651">
        <f>VLOOKUP($C27,Master!$F:$AU,AF$4,FALSE)</f>
        <v>0</v>
      </c>
      <c r="AG27" s="651">
        <f>VLOOKUP($C27,Master!$F:$AU,AG$4,FALSE)</f>
        <v>0</v>
      </c>
      <c r="AH27" s="651">
        <f>VLOOKUP($C27,Master!$F:$AU,AH$4,FALSE)</f>
        <v>0</v>
      </c>
      <c r="AI27" s="654">
        <f>VLOOKUP($C27,Master!$F:$AU,AI$4,FALSE)</f>
        <v>89328.5</v>
      </c>
      <c r="AJ27" s="651" t="str">
        <f>VLOOKUP($C27,Master!$F:$AU,AJ$4,FALSE)</f>
        <v>Habib Bank Limited</v>
      </c>
      <c r="AK27" s="655" t="str">
        <f>VLOOKUP($C27,Master!$F:$AU,AK$4,FALSE)</f>
        <v>0017-79008282-03</v>
      </c>
      <c r="AL27" s="656" t="str">
        <f>VLOOKUP($C27,Master!$F:$AU,AL$4,FALSE)</f>
        <v>42201-9210659-4</v>
      </c>
      <c r="AM27" s="648" t="str">
        <f>VLOOKUP($C27,Master!$F:$AU,AM$4,FALSE)</f>
        <v>Fatima Hasan</v>
      </c>
      <c r="AN27" s="651">
        <f>VLOOKUP($C27,Master!$F:$AU,AN$4,FALSE)</f>
        <v>89328.5</v>
      </c>
      <c r="AO27" s="651">
        <f>VLOOKUP($C27,Master!$F:$AU,AO$4,FALSE)</f>
        <v>0</v>
      </c>
      <c r="AP27" s="651">
        <f>VLOOKUP($C27,Master!$F:$AU,AP$4,FALSE)</f>
        <v>0</v>
      </c>
      <c r="AQ27" s="651">
        <f>VLOOKUP($C27,Master!$F:$AU,AQ$4,FALSE)</f>
        <v>0</v>
      </c>
      <c r="AR27" s="651">
        <f>VLOOKUP($C27,Master!$F:$AU,AR$4,FALSE)</f>
        <v>0</v>
      </c>
      <c r="AS27" s="673">
        <f>VLOOKUP($C27,Master!$F:$AU,AS$4,FALSE)</f>
        <v>89328.5</v>
      </c>
      <c r="AT27" s="651">
        <f>VLOOKUP($C27,Master!$F:$AU,AT$4,FALSE)</f>
        <v>0</v>
      </c>
      <c r="AU27" s="651">
        <f>VLOOKUP($C27,Master!$F:$AU,AU$4,FALSE)</f>
        <v>89328.5</v>
      </c>
      <c r="AW27" s="657"/>
      <c r="AX27" s="658">
        <f>+Master!$K$1</f>
        <v>276</v>
      </c>
      <c r="AY27" s="659">
        <f t="shared" si="19"/>
        <v>326.08695652173913</v>
      </c>
    </row>
    <row r="28" spans="1:51" s="617" customFormat="1" ht="45" customHeight="1" x14ac:dyDescent="0.3">
      <c r="B28" s="618">
        <f t="shared" si="20"/>
        <v>18</v>
      </c>
      <c r="C28" s="618">
        <v>107</v>
      </c>
      <c r="D28" s="630">
        <f>_xlfn.XLOOKUP(C28,Master[Emp Code],Master[date of last increment])</f>
        <v>43616</v>
      </c>
      <c r="E28" s="618">
        <f>_xlfn.XLOOKUP(C28,Master[Emp Code],Master[[last incremnet ]])</f>
        <v>35000</v>
      </c>
      <c r="F28" s="618">
        <f>_xlfn.XLOOKUP(C28,Master[Emp Code],Master['# Months Since Last Increment])</f>
        <v>11</v>
      </c>
      <c r="G28" s="619">
        <f>VLOOKUP($C28,Master!$F:$AU,G$4,FALSE)</f>
        <v>43508</v>
      </c>
      <c r="H28" s="618" t="str">
        <f>VLOOKUP($C28,Master!$F:$AU,H$4,FALSE)</f>
        <v>CT</v>
      </c>
      <c r="I28" s="620" t="str">
        <f>VLOOKUP($C28,Master!$F:$AU,I$4,FALSE)</f>
        <v>Hussnain ali farooqi</v>
      </c>
      <c r="J28" s="621" t="str">
        <f>VLOOKUP($C28,Master!$F:$AU,J$4,FALSE)</f>
        <v>Sales</v>
      </c>
      <c r="K28" s="621" t="str">
        <f>VLOOKUP($C28,Master!$F:$AU,K$4,FALSE)</f>
        <v>International Sales Executive</v>
      </c>
      <c r="L28" s="621" t="str">
        <f>VLOOKUP($C28,Master!$F:$AU,L$4,FALSE)</f>
        <v>Wahaj Qureshi</v>
      </c>
      <c r="M28" s="622" t="str">
        <f>VLOOKUP($C28,Master!$F:$AU,M$4,FALSE)</f>
        <v>HW</v>
      </c>
      <c r="N28" s="622" t="str">
        <f>VLOOKUP($C28,Master!$F:$AU,N$4,FALSE)</f>
        <v>BD</v>
      </c>
      <c r="O28" s="618" t="str">
        <f>VLOOKUP($C28,Master!$F:$AU,O$4,FALSE)</f>
        <v>P</v>
      </c>
      <c r="P28" s="623">
        <f>VLOOKUP($C28,Master!$F:$AU,P$4,FALSE)</f>
        <v>70000</v>
      </c>
      <c r="Q28" s="623">
        <f>VLOOKUP($C28,Master!$F:$AU,Q$4,FALSE)</f>
        <v>43750</v>
      </c>
      <c r="R28" s="623">
        <f>VLOOKUP($C28,Master!$F:$AU,R$4,FALSE)</f>
        <v>17500</v>
      </c>
      <c r="S28" s="623">
        <f>VLOOKUP($C28,Master!$F:$AU,S$4,FALSE)</f>
        <v>4375</v>
      </c>
      <c r="T28" s="623">
        <f>VLOOKUP($C28,Master!$F:$AU,T$4,FALSE)</f>
        <v>4375</v>
      </c>
      <c r="U28" s="623">
        <f>VLOOKUP($C28,Master!$F:$AU,U$4,FALSE)</f>
        <v>70000</v>
      </c>
      <c r="V28" s="624">
        <f>VLOOKUP($C28,Master!$F:$AU,V$4,FALSE)</f>
        <v>0</v>
      </c>
      <c r="W28" s="623">
        <f>VLOOKUP($C28,Master!$F:$AU,W$4,FALSE)</f>
        <v>0</v>
      </c>
      <c r="X28" s="623">
        <f>VLOOKUP($C28,Master!$F:$AU,X$4,FALSE)</f>
        <v>0</v>
      </c>
      <c r="Y28" s="623">
        <f>VLOOKUP($C28,Master!$F:$AU,Y$4,FALSE)</f>
        <v>0</v>
      </c>
      <c r="Z28" s="623">
        <f>VLOOKUP($C28,Master!$F:$AU,Z$4,FALSE)</f>
        <v>0</v>
      </c>
      <c r="AA28" s="625">
        <f>VLOOKUP($C28,Master!$F:$AU,AA$4,FALSE)</f>
        <v>388.88888888888891</v>
      </c>
      <c r="AB28" s="625">
        <f>VLOOKUP($C28,Master!$F:$AU,AB$4,FALSE)</f>
        <v>0</v>
      </c>
      <c r="AC28" s="625">
        <f>VLOOKUP($C28,Master!$F:$AU,AC$4,FALSE)</f>
        <v>0</v>
      </c>
      <c r="AD28" s="623">
        <f>VLOOKUP($C28,Master!$F:$AU,AD$4,FALSE)</f>
        <v>70000</v>
      </c>
      <c r="AE28" s="623">
        <f>VLOOKUP($C28,Master!$F:$AU,AE$4,FALSE)</f>
        <v>241.2</v>
      </c>
      <c r="AF28" s="623">
        <f>VLOOKUP($C28,Master!$F:$AU,AF$4,FALSE)</f>
        <v>0</v>
      </c>
      <c r="AG28" s="623">
        <f>VLOOKUP($C28,Master!$F:$AU,AG$4,FALSE)</f>
        <v>0</v>
      </c>
      <c r="AH28" s="623">
        <f>VLOOKUP($C28,Master!$F:$AU,AH$4,FALSE)</f>
        <v>0</v>
      </c>
      <c r="AI28" s="626">
        <f>VLOOKUP($C28,Master!$F:$AU,AI$4,FALSE)</f>
        <v>69758.8</v>
      </c>
      <c r="AJ28" s="623" t="str">
        <f>VLOOKUP($C28,Master!$F:$AU,AJ$4,FALSE)</f>
        <v>Habib Bank Limited</v>
      </c>
      <c r="AK28" s="627" t="str">
        <f>VLOOKUP($C28,Master!$F:$AU,AK$4,FALSE)</f>
        <v>0017-79009306-03</v>
      </c>
      <c r="AL28" s="628" t="str">
        <f>VLOOKUP($C28,Master!$F:$AU,AL$4,FALSE)</f>
        <v>31304-0957356-1</v>
      </c>
      <c r="AM28" s="620" t="str">
        <f>VLOOKUP($C28,Master!$F:$AU,AM$4,FALSE)</f>
        <v>Hareem Fatima</v>
      </c>
      <c r="AN28" s="623">
        <f>VLOOKUP($C28,Master!$F:$AU,AN$4,FALSE)</f>
        <v>69758.8</v>
      </c>
      <c r="AO28" s="623">
        <f>VLOOKUP($C28,Master!$F:$AU,AO$4,FALSE)</f>
        <v>0</v>
      </c>
      <c r="AP28" s="623">
        <f>VLOOKUP($C28,Master!$F:$AU,AP$4,FALSE)</f>
        <v>0</v>
      </c>
      <c r="AQ28" s="623">
        <f>VLOOKUP($C28,Master!$F:$AU,AQ$4,FALSE)</f>
        <v>0</v>
      </c>
      <c r="AR28" s="623">
        <f>VLOOKUP($C28,Master!$F:$AU,AR$4,FALSE)</f>
        <v>0</v>
      </c>
      <c r="AS28" s="673">
        <f>VLOOKUP($C28,Master!$F:$AU,AS$4,FALSE)</f>
        <v>69758.8</v>
      </c>
      <c r="AT28" s="623">
        <f>VLOOKUP($C28,Master!$F:$AU,AT$4,FALSE)</f>
        <v>0</v>
      </c>
      <c r="AU28" s="623">
        <f>VLOOKUP($C28,Master!$F:$AU,AU$4,FALSE)</f>
        <v>69758.8</v>
      </c>
      <c r="AW28" s="629"/>
      <c r="AX28" s="631">
        <f>+Master!$K$1</f>
        <v>276</v>
      </c>
      <c r="AY28" s="632">
        <f t="shared" si="19"/>
        <v>253.62318840579709</v>
      </c>
    </row>
    <row r="29" spans="1:51" s="617" customFormat="1" ht="45" customHeight="1" x14ac:dyDescent="0.3">
      <c r="B29" s="618">
        <f t="shared" si="20"/>
        <v>19</v>
      </c>
      <c r="C29" s="618">
        <v>133</v>
      </c>
      <c r="D29" s="630">
        <f>_xlfn.XLOOKUP(C29,Master[Emp Code],Master[date of last increment])</f>
        <v>43708</v>
      </c>
      <c r="E29" s="618">
        <f>_xlfn.XLOOKUP(C29,Master[Emp Code],Master[[last incremnet ]])</f>
        <v>40000</v>
      </c>
      <c r="F29" s="618">
        <f>_xlfn.XLOOKUP(C29,Master[Emp Code],Master['# Months Since Last Increment])</f>
        <v>8</v>
      </c>
      <c r="G29" s="619">
        <f>VLOOKUP($C29,Master!$F:$AU,G$4,FALSE)</f>
        <v>21</v>
      </c>
      <c r="H29" s="618" t="str">
        <f>VLOOKUP($C29,Master!$F:$AU,H$4,FALSE)</f>
        <v>CT</v>
      </c>
      <c r="I29" s="620" t="str">
        <f>VLOOKUP($C29,Master!$F:$AU,I$4,FALSE)</f>
        <v>Eraj Khalid</v>
      </c>
      <c r="J29" s="621" t="str">
        <f>VLOOKUP($C29,Master!$F:$AU,J$4,FALSE)</f>
        <v>Sales</v>
      </c>
      <c r="K29" s="621" t="str">
        <f>VLOOKUP($C29,Master!$F:$AU,K$4,FALSE)</f>
        <v>Sales/CSE</v>
      </c>
      <c r="L29" s="621" t="str">
        <f>VLOOKUP($C29,Master!$F:$AU,L$4,FALSE)</f>
        <v>Husnain</v>
      </c>
      <c r="M29" s="622" t="str">
        <f>VLOOKUP($C29,Master!$F:$AU,M$4,FALSE)</f>
        <v>HW</v>
      </c>
      <c r="N29" s="622" t="str">
        <f>VLOOKUP($C29,Master!$F:$AU,N$4,FALSE)</f>
        <v>BD</v>
      </c>
      <c r="O29" s="618" t="str">
        <f>VLOOKUP($C29,Master!$F:$AU,O$4,FALSE)</f>
        <v>P</v>
      </c>
      <c r="P29" s="623">
        <f>VLOOKUP($C29,Master!$F:$AU,P$4,FALSE)</f>
        <v>80000</v>
      </c>
      <c r="Q29" s="623">
        <f>VLOOKUP($C29,Master!$F:$AU,Q$4,FALSE)</f>
        <v>50000</v>
      </c>
      <c r="R29" s="623">
        <f>VLOOKUP($C29,Master!$F:$AU,R$4,FALSE)</f>
        <v>20000</v>
      </c>
      <c r="S29" s="623">
        <f>VLOOKUP($C29,Master!$F:$AU,S$4,FALSE)</f>
        <v>5000</v>
      </c>
      <c r="T29" s="623">
        <f>VLOOKUP($C29,Master!$F:$AU,T$4,FALSE)</f>
        <v>5000</v>
      </c>
      <c r="U29" s="623">
        <f>VLOOKUP($C29,Master!$F:$AU,U$4,FALSE)</f>
        <v>80000</v>
      </c>
      <c r="V29" s="624">
        <f>VLOOKUP($C29,Master!$F:$AU,V$4,FALSE)</f>
        <v>0</v>
      </c>
      <c r="W29" s="623">
        <f>VLOOKUP($C29,Master!$F:$AU,W$4,FALSE)</f>
        <v>0</v>
      </c>
      <c r="X29" s="623">
        <f>VLOOKUP($C29,Master!$F:$AU,X$4,FALSE)</f>
        <v>0</v>
      </c>
      <c r="Y29" s="623">
        <f>VLOOKUP($C29,Master!$F:$AU,Y$4,FALSE)</f>
        <v>0</v>
      </c>
      <c r="Z29" s="623">
        <f>VLOOKUP($C29,Master!$F:$AU,Z$4,FALSE)</f>
        <v>0</v>
      </c>
      <c r="AA29" s="625">
        <f>VLOOKUP($C29,Master!$F:$AU,AA$4,FALSE)</f>
        <v>444.44444444444446</v>
      </c>
      <c r="AB29" s="625">
        <f>VLOOKUP($C29,Master!$F:$AU,AB$4,FALSE)</f>
        <v>0</v>
      </c>
      <c r="AC29" s="625">
        <f>VLOOKUP($C29,Master!$F:$AU,AC$4,FALSE)</f>
        <v>0</v>
      </c>
      <c r="AD29" s="623">
        <f>VLOOKUP($C29,Master!$F:$AU,AD$4,FALSE)</f>
        <v>80000</v>
      </c>
      <c r="AE29" s="623">
        <f>VLOOKUP($C29,Master!$F:$AU,AE$4,FALSE)</f>
        <v>487.4</v>
      </c>
      <c r="AF29" s="623">
        <f>VLOOKUP($C29,Master!$F:$AU,AF$4,FALSE)</f>
        <v>250</v>
      </c>
      <c r="AG29" s="623">
        <f>VLOOKUP($C29,Master!$F:$AU,AG$4,FALSE)</f>
        <v>0</v>
      </c>
      <c r="AH29" s="623">
        <f>VLOOKUP($C29,Master!$F:$AU,AH$4,FALSE)</f>
        <v>0</v>
      </c>
      <c r="AI29" s="626">
        <f>VLOOKUP($C29,Master!$F:$AU,AI$4,FALSE)</f>
        <v>79262.600000000006</v>
      </c>
      <c r="AJ29" s="623" t="str">
        <f>VLOOKUP($C29,Master!$F:$AU,AJ$4,FALSE)</f>
        <v>Habib Bank Limited</v>
      </c>
      <c r="AK29" s="627" t="str">
        <f>VLOOKUP($C29,Master!$F:$AU,AK$4,FALSE)</f>
        <v>0017-79008733-03</v>
      </c>
      <c r="AL29" s="628" t="str">
        <f>VLOOKUP($C29,Master!$F:$AU,AL$4,FALSE)</f>
        <v>42201-1039448-6</v>
      </c>
      <c r="AM29" s="620" t="str">
        <f>VLOOKUP($C29,Master!$F:$AU,AM$4,FALSE)</f>
        <v>ERAJ KHALID</v>
      </c>
      <c r="AN29" s="623">
        <f>VLOOKUP($C29,Master!$F:$AU,AN$4,FALSE)</f>
        <v>79262.600000000006</v>
      </c>
      <c r="AO29" s="623">
        <f>VLOOKUP($C29,Master!$F:$AU,AO$4,FALSE)</f>
        <v>0</v>
      </c>
      <c r="AP29" s="623">
        <f>VLOOKUP($C29,Master!$F:$AU,AP$4,FALSE)</f>
        <v>0</v>
      </c>
      <c r="AQ29" s="623">
        <f>VLOOKUP($C29,Master!$F:$AU,AQ$4,FALSE)</f>
        <v>0</v>
      </c>
      <c r="AR29" s="623">
        <f>VLOOKUP($C29,Master!$F:$AU,AR$4,FALSE)</f>
        <v>0</v>
      </c>
      <c r="AS29" s="673">
        <f>VLOOKUP($C29,Master!$F:$AU,AS$4,FALSE)</f>
        <v>79262.600000000006</v>
      </c>
      <c r="AT29" s="623">
        <f>VLOOKUP($C29,Master!$F:$AU,AT$4,FALSE)</f>
        <v>0</v>
      </c>
      <c r="AU29" s="623">
        <f>VLOOKUP($C29,Master!$F:$AU,AU$4,FALSE)</f>
        <v>79262.600000000006</v>
      </c>
      <c r="AW29" s="629"/>
      <c r="AX29" s="631">
        <f>+Master!$K$1</f>
        <v>276</v>
      </c>
      <c r="AY29" s="632">
        <f t="shared" si="19"/>
        <v>289.85507246376812</v>
      </c>
    </row>
    <row r="30" spans="1:51" s="617" customFormat="1" ht="45" customHeight="1" x14ac:dyDescent="0.3">
      <c r="B30" s="618"/>
      <c r="C30" s="618">
        <v>97</v>
      </c>
      <c r="D30" s="630">
        <f>_xlfn.XLOOKUP(C30,Master[Emp Code],Master[date of last increment])</f>
        <v>43890</v>
      </c>
      <c r="E30" s="618">
        <f>_xlfn.XLOOKUP(C30,Master[Emp Code],Master[[last incremnet ]])</f>
        <v>15000</v>
      </c>
      <c r="F30" s="618">
        <f>_xlfn.XLOOKUP(C30,Master[Emp Code],Master['# Months Since Last Increment])</f>
        <v>2</v>
      </c>
      <c r="G30" s="619">
        <f>VLOOKUP($C30,Master!$F:$AU,G$4,FALSE)</f>
        <v>43481</v>
      </c>
      <c r="H30" s="618" t="str">
        <f>VLOOKUP($C30,Master!$F:$AU,H$4,FALSE)</f>
        <v>CT</v>
      </c>
      <c r="I30" s="620" t="str">
        <f>VLOOKUP($C30,Master!$F:$AU,I$4,FALSE)</f>
        <v>Waniya</v>
      </c>
      <c r="J30" s="621" t="str">
        <f>VLOOKUP($C30,Master!$F:$AU,J$4,FALSE)</f>
        <v>Sales</v>
      </c>
      <c r="K30" s="621" t="str">
        <f>VLOOKUP($C30,Master!$F:$AU,K$4,FALSE)</f>
        <v>Trainee</v>
      </c>
      <c r="L30" s="621" t="str">
        <f>VLOOKUP($C30,Master!$F:$AU,L$4,FALSE)</f>
        <v>Husnain</v>
      </c>
      <c r="M30" s="622" t="str">
        <f>VLOOKUP($C30,Master!$F:$AU,M$4,FALSE)</f>
        <v>HW</v>
      </c>
      <c r="N30" s="622" t="str">
        <f>VLOOKUP($C30,Master!$F:$AU,N$4,FALSE)</f>
        <v>BD</v>
      </c>
      <c r="O30" s="618" t="str">
        <f>VLOOKUP($C30,Master!$F:$AU,O$4,FALSE)</f>
        <v>P</v>
      </c>
      <c r="P30" s="623">
        <f>VLOOKUP($C30,Master!$F:$AU,P$4,FALSE)</f>
        <v>45000</v>
      </c>
      <c r="Q30" s="623">
        <f>VLOOKUP($C30,Master!$F:$AU,Q$4,FALSE)</f>
        <v>28125</v>
      </c>
      <c r="R30" s="623">
        <f>VLOOKUP($C30,Master!$F:$AU,R$4,FALSE)</f>
        <v>11250</v>
      </c>
      <c r="S30" s="623">
        <f>VLOOKUP($C30,Master!$F:$AU,S$4,FALSE)</f>
        <v>2812.5</v>
      </c>
      <c r="T30" s="623">
        <f>VLOOKUP($C30,Master!$F:$AU,T$4,FALSE)</f>
        <v>2812.5</v>
      </c>
      <c r="U30" s="623">
        <f>VLOOKUP($C30,Master!$F:$AU,U$4,FALSE)</f>
        <v>45000</v>
      </c>
      <c r="V30" s="624">
        <f>VLOOKUP($C30,Master!$F:$AU,V$4,FALSE)</f>
        <v>0</v>
      </c>
      <c r="W30" s="623">
        <f>VLOOKUP($C30,Master!$F:$AU,W$4,FALSE)</f>
        <v>0</v>
      </c>
      <c r="X30" s="623">
        <f>VLOOKUP($C30,Master!$F:$AU,X$4,FALSE)</f>
        <v>0</v>
      </c>
      <c r="Y30" s="623">
        <f>VLOOKUP($C30,Master!$F:$AU,Y$4,FALSE)</f>
        <v>0</v>
      </c>
      <c r="Z30" s="623">
        <f>VLOOKUP($C30,Master!$F:$AU,Z$4,FALSE)</f>
        <v>0</v>
      </c>
      <c r="AA30" s="625">
        <f>VLOOKUP($C30,Master!$F:$AU,AA$4,FALSE)</f>
        <v>250</v>
      </c>
      <c r="AB30" s="625">
        <f>VLOOKUP($C30,Master!$F:$AU,AB$4,FALSE)</f>
        <v>0</v>
      </c>
      <c r="AC30" s="625">
        <f>VLOOKUP($C30,Master!$F:$AU,AC$4,FALSE)</f>
        <v>0</v>
      </c>
      <c r="AD30" s="623">
        <f>VLOOKUP($C30,Master!$F:$AU,AD$4,FALSE)</f>
        <v>45000</v>
      </c>
      <c r="AE30" s="623">
        <f>VLOOKUP($C30,Master!$F:$AU,AE$4,FALSE)</f>
        <v>0</v>
      </c>
      <c r="AF30" s="623">
        <f>VLOOKUP($C30,Master!$F:$AU,AF$4,FALSE)</f>
        <v>0</v>
      </c>
      <c r="AG30" s="623">
        <f>VLOOKUP($C30,Master!$F:$AU,AG$4,FALSE)</f>
        <v>0</v>
      </c>
      <c r="AH30" s="623">
        <f>VLOOKUP($C30,Master!$F:$AU,AH$4,FALSE)</f>
        <v>0</v>
      </c>
      <c r="AI30" s="626">
        <f>VLOOKUP($C30,Master!$F:$AU,AI$4,FALSE)</f>
        <v>45000</v>
      </c>
      <c r="AJ30" s="623" t="str">
        <f>VLOOKUP($C30,Master!$F:$AU,AJ$4,FALSE)</f>
        <v>Habib Bank Limited</v>
      </c>
      <c r="AK30" s="627" t="str">
        <f>VLOOKUP($C30,Master!$F:$AU,AK$4,FALSE)</f>
        <v>0017-79009274-03</v>
      </c>
      <c r="AL30" s="628">
        <v>4210149618125</v>
      </c>
      <c r="AM30" s="620" t="str">
        <f>VLOOKUP($C30,Master!$F:$AU,AM$4,FALSE)</f>
        <v>Wania Qureshi</v>
      </c>
      <c r="AN30" s="623">
        <f>VLOOKUP($C30,Master!$F:$AU,AN$4,FALSE)</f>
        <v>45000</v>
      </c>
      <c r="AO30" s="623">
        <f>VLOOKUP($C30,Master!$F:$AU,AO$4,FALSE)</f>
        <v>0</v>
      </c>
      <c r="AP30" s="623">
        <f>VLOOKUP($C30,Master!$F:$AU,AP$4,FALSE)</f>
        <v>0</v>
      </c>
      <c r="AQ30" s="623">
        <f>VLOOKUP($C30,Master!$F:$AU,AQ$4,FALSE)</f>
        <v>0</v>
      </c>
      <c r="AR30" s="623">
        <f>VLOOKUP($C30,Master!$F:$AU,AR$4,FALSE)</f>
        <v>0</v>
      </c>
      <c r="AS30" s="673">
        <f>VLOOKUP($C30,Master!$F:$AU,AS$4,FALSE)</f>
        <v>45000</v>
      </c>
      <c r="AT30" s="623">
        <f>VLOOKUP($C30,Master!$F:$AU,AT$4,FALSE)</f>
        <v>0</v>
      </c>
      <c r="AU30" s="623">
        <f>VLOOKUP($C30,Master!$F:$AU,AU$4,FALSE)</f>
        <v>45000</v>
      </c>
      <c r="AW30" s="629"/>
      <c r="AX30" s="631">
        <f>+Master!$K$1</f>
        <v>276</v>
      </c>
      <c r="AY30" s="632">
        <f t="shared" ref="AY30:AY31" si="21">+AD30/AX30</f>
        <v>163.04347826086956</v>
      </c>
    </row>
    <row r="31" spans="1:51" s="617" customFormat="1" ht="45" customHeight="1" x14ac:dyDescent="0.3">
      <c r="B31" s="618"/>
      <c r="C31" s="618">
        <v>229</v>
      </c>
      <c r="D31" s="630">
        <f>_xlfn.XLOOKUP(C31,Master[Emp Code],Master[date of last increment])</f>
        <v>0</v>
      </c>
      <c r="E31" s="618">
        <f>_xlfn.XLOOKUP(C31,Master[Emp Code],Master[[last incremnet ]])</f>
        <v>0</v>
      </c>
      <c r="F31" s="618">
        <f>_xlfn.XLOOKUP(C31,Master[Emp Code],Master['# Months Since Last Increment])</f>
        <v>0</v>
      </c>
      <c r="G31" s="619">
        <f>VLOOKUP($C31,Master!$F:$AU,G$4,FALSE)</f>
        <v>43942</v>
      </c>
      <c r="H31" s="618">
        <f>VLOOKUP($C31,Master!$F:$AU,H$4,FALSE)</f>
        <v>0</v>
      </c>
      <c r="I31" s="620" t="str">
        <f>VLOOKUP($C31,Master!$F:$AU,I$4,FALSE)</f>
        <v>Maham Khan</v>
      </c>
      <c r="J31" s="621" t="str">
        <f>VLOOKUP($C31,Master!$F:$AU,J$4,FALSE)</f>
        <v>Sales</v>
      </c>
      <c r="K31" s="621" t="str">
        <f>VLOOKUP($C31,Master!$F:$AU,K$4,FALSE)</f>
        <v>International Sales Executive</v>
      </c>
      <c r="L31" s="621">
        <f>VLOOKUP($C31,Master!$F:$AU,L$4,FALSE)</f>
        <v>0</v>
      </c>
      <c r="M31" s="622" t="str">
        <f>VLOOKUP($C31,Master!$F:$AU,M$4,FALSE)</f>
        <v>HW</v>
      </c>
      <c r="N31" s="622" t="str">
        <f>VLOOKUP($C31,Master!$F:$AU,N$4,FALSE)</f>
        <v>BD</v>
      </c>
      <c r="O31" s="618" t="str">
        <f>VLOOKUP($C31,Master!$F:$AU,O$4,FALSE)</f>
        <v>NP</v>
      </c>
      <c r="P31" s="623">
        <f>VLOOKUP($C31,Master!$F:$AU,P$4,FALSE)</f>
        <v>30000</v>
      </c>
      <c r="Q31" s="623">
        <f>VLOOKUP($C31,Master!$F:$AU,Q$4,FALSE)</f>
        <v>18750</v>
      </c>
      <c r="R31" s="623">
        <f>VLOOKUP($C31,Master!$F:$AU,R$4,FALSE)</f>
        <v>7500</v>
      </c>
      <c r="S31" s="623">
        <f>VLOOKUP($C31,Master!$F:$AU,S$4,FALSE)</f>
        <v>1875</v>
      </c>
      <c r="T31" s="623">
        <f>VLOOKUP($C31,Master!$F:$AU,T$4,FALSE)</f>
        <v>1875</v>
      </c>
      <c r="U31" s="623">
        <f>VLOOKUP($C31,Master!$F:$AU,U$4,FALSE)</f>
        <v>30000</v>
      </c>
      <c r="V31" s="624">
        <f>VLOOKUP($C31,Master!$F:$AU,V$4,FALSE)</f>
        <v>0</v>
      </c>
      <c r="W31" s="623">
        <f>VLOOKUP($C31,Master!$F:$AU,W$4,FALSE)</f>
        <v>0</v>
      </c>
      <c r="X31" s="623">
        <f>VLOOKUP($C31,Master!$F:$AU,X$4,FALSE)</f>
        <v>0</v>
      </c>
      <c r="Y31" s="623">
        <f>VLOOKUP($C31,Master!$F:$AU,Y$4,FALSE)</f>
        <v>13</v>
      </c>
      <c r="Z31" s="623">
        <f>VLOOKUP($C31,Master!$F:$AU,Z$4,FALSE)</f>
        <v>19500</v>
      </c>
      <c r="AA31" s="625">
        <f>VLOOKUP($C31,Master!$F:$AU,AA$4,FALSE)</f>
        <v>166.66666666666666</v>
      </c>
      <c r="AB31" s="625">
        <f>VLOOKUP($C31,Master!$F:$AU,AB$4,FALSE)</f>
        <v>0</v>
      </c>
      <c r="AC31" s="625">
        <f>VLOOKUP($C31,Master!$F:$AU,AC$4,FALSE)</f>
        <v>0</v>
      </c>
      <c r="AD31" s="623">
        <f>VLOOKUP($C31,Master!$F:$AU,AD$4,FALSE)</f>
        <v>10500</v>
      </c>
      <c r="AE31" s="623">
        <f>VLOOKUP($C31,Master!$F:$AU,AE$4,FALSE)</f>
        <v>0</v>
      </c>
      <c r="AF31" s="623">
        <f>VLOOKUP($C31,Master!$F:$AU,AF$4,FALSE)</f>
        <v>0</v>
      </c>
      <c r="AG31" s="623">
        <f>VLOOKUP($C31,Master!$F:$AU,AG$4,FALSE)</f>
        <v>0</v>
      </c>
      <c r="AH31" s="623">
        <f>VLOOKUP($C31,Master!$F:$AU,AH$4,FALSE)</f>
        <v>0</v>
      </c>
      <c r="AI31" s="626">
        <f>VLOOKUP($C31,Master!$F:$AU,AI$4,FALSE)</f>
        <v>10500</v>
      </c>
      <c r="AJ31" s="623" t="str">
        <f>VLOOKUP($C31,Master!$F:$AU,AJ$4,FALSE)</f>
        <v>Habib Bank Limited</v>
      </c>
      <c r="AK31" s="627" t="str">
        <f>VLOOKUP($C31,Master!$F:$AU,AK$4,FALSE)</f>
        <v>PK70HABB0022567901806303</v>
      </c>
      <c r="AL31" s="628">
        <v>4210149618125</v>
      </c>
      <c r="AM31" s="620" t="str">
        <f>VLOOKUP($C31,Master!$F:$AU,AM$4,FALSE)</f>
        <v>Muhammad Ali</v>
      </c>
      <c r="AN31" s="623">
        <f>VLOOKUP($C31,Master!$F:$AU,AN$4,FALSE)</f>
        <v>0</v>
      </c>
      <c r="AO31" s="623">
        <f>VLOOKUP($C31,Master!$F:$AU,AO$4,FALSE)</f>
        <v>0</v>
      </c>
      <c r="AP31" s="623">
        <f>VLOOKUP($C31,Master!$F:$AU,AP$4,FALSE)</f>
        <v>0</v>
      </c>
      <c r="AQ31" s="623">
        <f>VLOOKUP($C31,Master!$F:$AU,AQ$4,FALSE)</f>
        <v>0</v>
      </c>
      <c r="AR31" s="623">
        <f>VLOOKUP($C31,Master!$F:$AU,AR$4,FALSE)</f>
        <v>10500</v>
      </c>
      <c r="AS31" s="673">
        <f>VLOOKUP($C31,Master!$F:$AU,AS$4,FALSE)</f>
        <v>10500</v>
      </c>
      <c r="AT31" s="623">
        <f>VLOOKUP($C31,Master!$F:$AU,AT$4,FALSE)</f>
        <v>0</v>
      </c>
      <c r="AU31" s="623">
        <f>VLOOKUP($C31,Master!$F:$AU,AU$4,FALSE)</f>
        <v>10500</v>
      </c>
      <c r="AW31" s="629"/>
      <c r="AX31" s="631">
        <f>+Master!$K$1</f>
        <v>276</v>
      </c>
      <c r="AY31" s="632">
        <f t="shared" si="21"/>
        <v>38.043478260869563</v>
      </c>
    </row>
    <row r="32" spans="1:51" s="617" customFormat="1" ht="45" customHeight="1" x14ac:dyDescent="0.3">
      <c r="B32" s="618">
        <f>+B29+1</f>
        <v>20</v>
      </c>
      <c r="C32" s="618">
        <v>230</v>
      </c>
      <c r="D32" s="630">
        <f>_xlfn.XLOOKUP(C32,Master[Emp Code],Master[date of last increment])</f>
        <v>0</v>
      </c>
      <c r="E32" s="618">
        <f>_xlfn.XLOOKUP(C32,Master[Emp Code],Master[[last incremnet ]])</f>
        <v>0</v>
      </c>
      <c r="F32" s="618">
        <f>_xlfn.XLOOKUP(C32,Master[Emp Code],Master['# Months Since Last Increment])</f>
        <v>0</v>
      </c>
      <c r="G32" s="619">
        <f>VLOOKUP($C32,Master!$F:$AU,G$4,FALSE)</f>
        <v>43945</v>
      </c>
      <c r="H32" s="618">
        <f>VLOOKUP($C32,Master!$F:$AU,H$4,FALSE)</f>
        <v>0</v>
      </c>
      <c r="I32" s="620" t="str">
        <f>VLOOKUP($C32,Master!$F:$AU,I$4,FALSE)</f>
        <v>Muhammad Yousha</v>
      </c>
      <c r="J32" s="621" t="str">
        <f>VLOOKUP($C32,Master!$F:$AU,J$4,FALSE)</f>
        <v>Sales</v>
      </c>
      <c r="K32" s="621" t="str">
        <f>VLOOKUP($C32,Master!$F:$AU,K$4,FALSE)</f>
        <v>International Sales Executive</v>
      </c>
      <c r="L32" s="621">
        <f>VLOOKUP($C32,Master!$F:$AU,L$4,FALSE)</f>
        <v>0</v>
      </c>
      <c r="M32" s="622" t="str">
        <f>VLOOKUP($C32,Master!$F:$AU,M$4,FALSE)</f>
        <v>HW</v>
      </c>
      <c r="N32" s="622" t="str">
        <f>VLOOKUP($C32,Master!$F:$AU,N$4,FALSE)</f>
        <v>BD</v>
      </c>
      <c r="O32" s="618" t="str">
        <f>VLOOKUP($C32,Master!$F:$AU,O$4,FALSE)</f>
        <v>NP</v>
      </c>
      <c r="P32" s="623">
        <f>VLOOKUP($C32,Master!$F:$AU,P$4,FALSE)</f>
        <v>35000</v>
      </c>
      <c r="Q32" s="623">
        <f>VLOOKUP($C32,Master!$F:$AU,Q$4,FALSE)</f>
        <v>21875</v>
      </c>
      <c r="R32" s="623">
        <f>VLOOKUP($C32,Master!$F:$AU,R$4,FALSE)</f>
        <v>8750</v>
      </c>
      <c r="S32" s="623">
        <f>VLOOKUP($C32,Master!$F:$AU,S$4,FALSE)</f>
        <v>2187.5</v>
      </c>
      <c r="T32" s="623">
        <f>VLOOKUP($C32,Master!$F:$AU,T$4,FALSE)</f>
        <v>2187.5</v>
      </c>
      <c r="U32" s="623">
        <f>VLOOKUP($C32,Master!$F:$AU,U$4,FALSE)</f>
        <v>35000</v>
      </c>
      <c r="V32" s="624">
        <f>VLOOKUP($C32,Master!$F:$AU,V$4,FALSE)</f>
        <v>0</v>
      </c>
      <c r="W32" s="623">
        <f>VLOOKUP($C32,Master!$F:$AU,W$4,FALSE)</f>
        <v>0</v>
      </c>
      <c r="X32" s="623">
        <f>VLOOKUP($C32,Master!$F:$AU,X$4,FALSE)</f>
        <v>0</v>
      </c>
      <c r="Y32" s="623">
        <f>VLOOKUP($C32,Master!$F:$AU,Y$4,FALSE)</f>
        <v>17</v>
      </c>
      <c r="Z32" s="623">
        <f>VLOOKUP($C32,Master!$F:$AU,Z$4,FALSE)</f>
        <v>29750</v>
      </c>
      <c r="AA32" s="625">
        <f>VLOOKUP($C32,Master!$F:$AU,AA$4,FALSE)</f>
        <v>194.44444444444446</v>
      </c>
      <c r="AB32" s="625">
        <f>VLOOKUP($C32,Master!$F:$AU,AB$4,FALSE)</f>
        <v>0</v>
      </c>
      <c r="AC32" s="625">
        <f>VLOOKUP($C32,Master!$F:$AU,AC$4,FALSE)</f>
        <v>0</v>
      </c>
      <c r="AD32" s="623">
        <f>VLOOKUP($C32,Master!$F:$AU,AD$4,FALSE)</f>
        <v>5250</v>
      </c>
      <c r="AE32" s="623">
        <f>VLOOKUP($C32,Master!$F:$AU,AE$4,FALSE)</f>
        <v>0</v>
      </c>
      <c r="AF32" s="623">
        <f>VLOOKUP($C32,Master!$F:$AU,AF$4,FALSE)</f>
        <v>0</v>
      </c>
      <c r="AG32" s="623">
        <f>VLOOKUP($C32,Master!$F:$AU,AG$4,FALSE)</f>
        <v>0</v>
      </c>
      <c r="AH32" s="623">
        <f>VLOOKUP($C32,Master!$F:$AU,AH$4,FALSE)</f>
        <v>0</v>
      </c>
      <c r="AI32" s="626">
        <f>VLOOKUP($C32,Master!$F:$AU,AI$4,FALSE)</f>
        <v>5250</v>
      </c>
      <c r="AJ32" s="623" t="str">
        <f>VLOOKUP($C32,Master!$F:$AU,AJ$4,FALSE)</f>
        <v>Meezan Bank Limited</v>
      </c>
      <c r="AK32" s="627" t="str">
        <f>VLOOKUP($C32,Master!$F:$AU,AK$4,FALSE)</f>
        <v>PK08MEZN0001130105931538</v>
      </c>
      <c r="AL32" s="628">
        <v>4210149618125</v>
      </c>
      <c r="AM32" s="620" t="str">
        <f>VLOOKUP($C32,Master!$F:$AU,AM$4,FALSE)</f>
        <v>Muhammad Yousha</v>
      </c>
      <c r="AN32" s="623">
        <f>VLOOKUP($C32,Master!$F:$AU,AN$4,FALSE)</f>
        <v>0</v>
      </c>
      <c r="AO32" s="623">
        <f>VLOOKUP($C32,Master!$F:$AU,AO$4,FALSE)</f>
        <v>0</v>
      </c>
      <c r="AP32" s="623">
        <f>VLOOKUP($C32,Master!$F:$AU,AP$4,FALSE)</f>
        <v>0</v>
      </c>
      <c r="AQ32" s="623">
        <f>VLOOKUP($C32,Master!$F:$AU,AQ$4,FALSE)</f>
        <v>5250</v>
      </c>
      <c r="AR32" s="623">
        <f>VLOOKUP($C32,Master!$F:$AU,AR$4,FALSE)</f>
        <v>0</v>
      </c>
      <c r="AS32" s="673">
        <f>VLOOKUP($C32,Master!$F:$AU,AS$4,FALSE)</f>
        <v>5250</v>
      </c>
      <c r="AT32" s="623">
        <f>VLOOKUP($C32,Master!$F:$AU,AT$4,FALSE)</f>
        <v>0</v>
      </c>
      <c r="AU32" s="623">
        <f>VLOOKUP($C32,Master!$F:$AU,AU$4,FALSE)</f>
        <v>5250</v>
      </c>
      <c r="AW32" s="629"/>
      <c r="AX32" s="631">
        <f>+Master!$K$1</f>
        <v>276</v>
      </c>
      <c r="AY32" s="632">
        <f t="shared" si="19"/>
        <v>19.021739130434781</v>
      </c>
    </row>
    <row r="33" spans="1:51" s="617" customFormat="1" ht="45" customHeight="1" x14ac:dyDescent="0.3">
      <c r="B33" s="636"/>
      <c r="C33" s="636"/>
      <c r="D33" s="636"/>
      <c r="E33" s="636"/>
      <c r="F33" s="636"/>
      <c r="G33" s="637"/>
      <c r="H33" s="636"/>
      <c r="I33" s="638"/>
      <c r="J33" s="639"/>
      <c r="K33" s="639"/>
      <c r="L33" s="639"/>
      <c r="M33" s="640"/>
      <c r="N33" s="640"/>
      <c r="O33" s="636"/>
      <c r="P33" s="641">
        <f t="shared" ref="P33:V33" si="22">SUBTOTAL(9,P25:P32)</f>
        <v>525000</v>
      </c>
      <c r="Q33" s="641">
        <f t="shared" si="22"/>
        <v>328125</v>
      </c>
      <c r="R33" s="641">
        <f t="shared" si="22"/>
        <v>131250</v>
      </c>
      <c r="S33" s="641">
        <f t="shared" si="22"/>
        <v>32812.5</v>
      </c>
      <c r="T33" s="641">
        <f t="shared" si="22"/>
        <v>117812.5</v>
      </c>
      <c r="U33" s="641">
        <f t="shared" si="22"/>
        <v>610000</v>
      </c>
      <c r="V33" s="641">
        <f t="shared" si="22"/>
        <v>0</v>
      </c>
      <c r="W33" s="635"/>
      <c r="X33" s="641">
        <f>SUBTOTAL(9,X25:X32)</f>
        <v>0</v>
      </c>
      <c r="Y33" s="635"/>
      <c r="Z33" s="641">
        <f>SUBTOTAL(9,Z25:Z32)</f>
        <v>49250</v>
      </c>
      <c r="AA33" s="642"/>
      <c r="AB33" s="642"/>
      <c r="AC33" s="641">
        <f t="shared" ref="AC33:AU33" si="23">SUBTOTAL(9,AC25:AC32)</f>
        <v>0</v>
      </c>
      <c r="AD33" s="641">
        <f t="shared" si="23"/>
        <v>560750</v>
      </c>
      <c r="AE33" s="641">
        <f t="shared" si="23"/>
        <v>3341.2999999999997</v>
      </c>
      <c r="AF33" s="641">
        <f t="shared" si="23"/>
        <v>500</v>
      </c>
      <c r="AG33" s="641">
        <f t="shared" si="23"/>
        <v>85000</v>
      </c>
      <c r="AH33" s="641">
        <f t="shared" si="23"/>
        <v>0</v>
      </c>
      <c r="AI33" s="643">
        <f t="shared" si="23"/>
        <v>471908.69999999995</v>
      </c>
      <c r="AJ33" s="623">
        <f t="shared" si="23"/>
        <v>0</v>
      </c>
      <c r="AK33" s="627">
        <f t="shared" si="23"/>
        <v>0</v>
      </c>
      <c r="AL33" s="628">
        <f t="shared" si="23"/>
        <v>16840598472500</v>
      </c>
      <c r="AM33" s="620">
        <f t="shared" si="23"/>
        <v>0</v>
      </c>
      <c r="AN33" s="641">
        <f t="shared" si="23"/>
        <v>456158.69999999995</v>
      </c>
      <c r="AO33" s="641">
        <f t="shared" si="23"/>
        <v>0</v>
      </c>
      <c r="AP33" s="641">
        <f t="shared" si="23"/>
        <v>0</v>
      </c>
      <c r="AQ33" s="641">
        <f t="shared" si="23"/>
        <v>5250</v>
      </c>
      <c r="AR33" s="641">
        <f t="shared" si="23"/>
        <v>10500</v>
      </c>
      <c r="AS33" s="643">
        <f t="shared" si="23"/>
        <v>471908.69999999995</v>
      </c>
      <c r="AT33" s="641">
        <f t="shared" si="23"/>
        <v>0</v>
      </c>
      <c r="AU33" s="641">
        <f t="shared" si="23"/>
        <v>471908.69999999995</v>
      </c>
      <c r="AW33" s="629"/>
      <c r="AY33" s="641">
        <f>SUBTOTAL(9,AY25:AY32)</f>
        <v>2031.7028985507243</v>
      </c>
    </row>
    <row r="34" spans="1:51" s="617" customFormat="1" ht="45" customHeight="1" x14ac:dyDescent="0.3">
      <c r="B34" s="618"/>
      <c r="C34" s="618"/>
      <c r="D34" s="618"/>
      <c r="E34" s="618"/>
      <c r="F34" s="618"/>
      <c r="G34" s="619"/>
      <c r="H34" s="618"/>
      <c r="I34" s="620"/>
      <c r="J34" s="621"/>
      <c r="K34" s="621"/>
      <c r="L34" s="621"/>
      <c r="M34" s="622"/>
      <c r="N34" s="622"/>
      <c r="O34" s="618"/>
      <c r="P34" s="660"/>
      <c r="Q34" s="660"/>
      <c r="R34" s="660"/>
      <c r="S34" s="660"/>
      <c r="T34" s="660"/>
      <c r="U34" s="660"/>
      <c r="V34" s="624"/>
      <c r="W34" s="623"/>
      <c r="X34" s="623"/>
      <c r="Y34" s="623"/>
      <c r="Z34" s="623"/>
      <c r="AA34" s="625"/>
      <c r="AB34" s="625"/>
      <c r="AC34" s="625"/>
      <c r="AD34" s="623"/>
      <c r="AE34" s="623"/>
      <c r="AF34" s="623"/>
      <c r="AG34" s="623"/>
      <c r="AH34" s="623"/>
      <c r="AI34" s="626"/>
      <c r="AJ34" s="623"/>
      <c r="AK34" s="627"/>
      <c r="AL34" s="628"/>
      <c r="AM34" s="620"/>
      <c r="AN34" s="623"/>
      <c r="AO34" s="623"/>
      <c r="AP34" s="623"/>
      <c r="AQ34" s="623"/>
      <c r="AR34" s="623"/>
      <c r="AS34" s="673"/>
      <c r="AT34" s="623"/>
      <c r="AU34" s="623"/>
      <c r="AW34" s="629"/>
    </row>
    <row r="35" spans="1:51" s="617" customFormat="1" ht="45" customHeight="1" x14ac:dyDescent="0.3">
      <c r="B35" s="618">
        <v>21</v>
      </c>
      <c r="C35" s="618">
        <v>7</v>
      </c>
      <c r="D35" s="630">
        <f>_xlfn.XLOOKUP(C35,Master[Emp Code],Master[date of last increment])</f>
        <v>43830</v>
      </c>
      <c r="E35" s="618">
        <f>_xlfn.XLOOKUP(C35,Master[Emp Code],Master[[last incremnet ]])</f>
        <v>20000</v>
      </c>
      <c r="F35" s="618">
        <f>_xlfn.XLOOKUP(C35,Master[Emp Code],Master['# Months Since Last Increment])</f>
        <v>4</v>
      </c>
      <c r="G35" s="619">
        <f>VLOOKUP($C35,Master!$F:$AU,G$4,FALSE)</f>
        <v>42185</v>
      </c>
      <c r="H35" s="618" t="str">
        <f>VLOOKUP($C35,Master!$F:$AU,H$4,FALSE)</f>
        <v>CT</v>
      </c>
      <c r="I35" s="620" t="str">
        <f>VLOOKUP($C35,Master!$F:$AU,I$4,FALSE)</f>
        <v>Ebad Qureshi</v>
      </c>
      <c r="J35" s="621" t="str">
        <f>VLOOKUP($C35,Master!$F:$AU,J$4,FALSE)</f>
        <v>Procurement</v>
      </c>
      <c r="K35" s="621" t="str">
        <f>VLOOKUP($C35,Master!$F:$AU,K$4,FALSE)</f>
        <v>Manager Procurement</v>
      </c>
      <c r="L35" s="621" t="str">
        <f>VLOOKUP($C35,Master!$F:$AU,L$4,FALSE)</f>
        <v>Nadeem Akhtar</v>
      </c>
      <c r="M35" s="622" t="str">
        <f>VLOOKUP($C35,Master!$F:$AU,M$4,FALSE)</f>
        <v>HW</v>
      </c>
      <c r="N35" s="622" t="str">
        <f>VLOOKUP($C35,Master!$F:$AU,N$4,FALSE)</f>
        <v>ITN</v>
      </c>
      <c r="O35" s="618" t="str">
        <f>VLOOKUP($C35,Master!$F:$AU,O$4,FALSE)</f>
        <v>P</v>
      </c>
      <c r="P35" s="623">
        <f>VLOOKUP($C35,Master!$F:$AU,P$4,FALSE)</f>
        <v>110000</v>
      </c>
      <c r="Q35" s="623">
        <f>VLOOKUP($C35,Master!$F:$AU,Q$4,FALSE)</f>
        <v>68750</v>
      </c>
      <c r="R35" s="623">
        <f>VLOOKUP($C35,Master!$F:$AU,R$4,FALSE)</f>
        <v>27500</v>
      </c>
      <c r="S35" s="623">
        <f>VLOOKUP($C35,Master!$F:$AU,S$4,FALSE)</f>
        <v>6875</v>
      </c>
      <c r="T35" s="623">
        <f>VLOOKUP($C35,Master!$F:$AU,T$4,FALSE)</f>
        <v>6875</v>
      </c>
      <c r="U35" s="623">
        <f>VLOOKUP($C35,Master!$F:$AU,U$4,FALSE)</f>
        <v>110000</v>
      </c>
      <c r="V35" s="624">
        <f>VLOOKUP($C35,Master!$F:$AU,V$4,FALSE)</f>
        <v>0</v>
      </c>
      <c r="W35" s="623">
        <f>VLOOKUP($C35,Master!$F:$AU,W$4,FALSE)</f>
        <v>0</v>
      </c>
      <c r="X35" s="623">
        <f>VLOOKUP($C35,Master!$F:$AU,X$4,FALSE)</f>
        <v>0</v>
      </c>
      <c r="Y35" s="623">
        <f>VLOOKUP($C35,Master!$F:$AU,Y$4,FALSE)</f>
        <v>0</v>
      </c>
      <c r="Z35" s="623">
        <f>VLOOKUP($C35,Master!$F:$AU,Z$4,FALSE)</f>
        <v>0</v>
      </c>
      <c r="AA35" s="625">
        <f>VLOOKUP($C35,Master!$F:$AU,AA$4,FALSE)</f>
        <v>611.11111111111109</v>
      </c>
      <c r="AB35" s="625">
        <f>VLOOKUP($C35,Master!$F:$AU,AB$4,FALSE)</f>
        <v>0</v>
      </c>
      <c r="AC35" s="625">
        <f>VLOOKUP($C35,Master!$F:$AU,AC$4,FALSE)</f>
        <v>0</v>
      </c>
      <c r="AD35" s="623">
        <f>VLOOKUP($C35,Master!$F:$AU,AD$4,FALSE)</f>
        <v>110000</v>
      </c>
      <c r="AE35" s="623">
        <f>VLOOKUP($C35,Master!$F:$AU,AE$4,FALSE)</f>
        <v>3062</v>
      </c>
      <c r="AF35" s="623">
        <f>VLOOKUP($C35,Master!$F:$AU,AF$4,FALSE)</f>
        <v>250</v>
      </c>
      <c r="AG35" s="623">
        <f>VLOOKUP($C35,Master!$F:$AU,AG$4,FALSE)</f>
        <v>0</v>
      </c>
      <c r="AH35" s="623">
        <f>VLOOKUP($C35,Master!$F:$AU,AH$4,FALSE)</f>
        <v>10000</v>
      </c>
      <c r="AI35" s="626">
        <f>VLOOKUP($C35,Master!$F:$AU,AI$4,FALSE)</f>
        <v>96688</v>
      </c>
      <c r="AJ35" s="623" t="str">
        <f>VLOOKUP($C35,Master!$F:$AU,AJ$4,FALSE)</f>
        <v>Habib Bank Limited</v>
      </c>
      <c r="AK35" s="627" t="str">
        <f>VLOOKUP($C35,Master!$F:$AU,AK$4,FALSE)</f>
        <v>0017-79008145-03</v>
      </c>
      <c r="AL35" s="628" t="str">
        <f>VLOOKUP($C35,Master!$F:$AU,AL$4,FALSE)</f>
        <v>42201-0463606-9</v>
      </c>
      <c r="AM35" s="620" t="str">
        <f>VLOOKUP($C35,Master!$F:$AU,AM$4,FALSE)</f>
        <v>M Ebad Qureshi</v>
      </c>
      <c r="AN35" s="623">
        <f>VLOOKUP($C35,Master!$F:$AU,AN$4,FALSE)</f>
        <v>96688</v>
      </c>
      <c r="AO35" s="623">
        <f>VLOOKUP($C35,Master!$F:$AU,AO$4,FALSE)</f>
        <v>0</v>
      </c>
      <c r="AP35" s="623">
        <f>VLOOKUP($C35,Master!$F:$AU,AP$4,FALSE)</f>
        <v>0</v>
      </c>
      <c r="AQ35" s="623">
        <f>VLOOKUP($C35,Master!$F:$AU,AQ$4,FALSE)</f>
        <v>0</v>
      </c>
      <c r="AR35" s="623">
        <f>VLOOKUP($C35,Master!$F:$AU,AR$4,FALSE)</f>
        <v>0</v>
      </c>
      <c r="AS35" s="673">
        <f>VLOOKUP($C35,Master!$F:$AU,AS$4,FALSE)</f>
        <v>96688</v>
      </c>
      <c r="AT35" s="623">
        <f>VLOOKUP($C35,Master!$F:$AU,AT$4,FALSE)</f>
        <v>0</v>
      </c>
      <c r="AU35" s="623">
        <f>VLOOKUP($C35,Master!$F:$AU,AU$4,FALSE)</f>
        <v>96688</v>
      </c>
      <c r="AW35" s="629"/>
      <c r="AX35" s="631">
        <f>+Master!$K$1</f>
        <v>276</v>
      </c>
      <c r="AY35" s="632">
        <f t="shared" ref="AY35:AY39" si="24">+AD35/AX35</f>
        <v>398.55072463768118</v>
      </c>
    </row>
    <row r="36" spans="1:51" s="617" customFormat="1" ht="45" customHeight="1" x14ac:dyDescent="0.3">
      <c r="B36" s="618">
        <f>+B35+1</f>
        <v>22</v>
      </c>
      <c r="C36" s="618">
        <v>8</v>
      </c>
      <c r="D36" s="630">
        <f>_xlfn.XLOOKUP(C36,Master[Emp Code],Master[date of last increment])</f>
        <v>43830</v>
      </c>
      <c r="E36" s="618">
        <f>_xlfn.XLOOKUP(C36,Master[Emp Code],Master[[last incremnet ]])</f>
        <v>15000</v>
      </c>
      <c r="F36" s="618">
        <f>_xlfn.XLOOKUP(C36,Master[Emp Code],Master['# Months Since Last Increment])</f>
        <v>4</v>
      </c>
      <c r="G36" s="619">
        <f>VLOOKUP($C36,Master!$F:$AU,G$4,FALSE)</f>
        <v>42308</v>
      </c>
      <c r="H36" s="618" t="str">
        <f>VLOOKUP($C36,Master!$F:$AU,H$4,FALSE)</f>
        <v>CT</v>
      </c>
      <c r="I36" s="620" t="str">
        <f>VLOOKUP($C36,Master!$F:$AU,I$4,FALSE)</f>
        <v>Khawar Qureshi</v>
      </c>
      <c r="J36" s="621" t="str">
        <f>VLOOKUP($C36,Master!$F:$AU,J$4,FALSE)</f>
        <v>Procurement</v>
      </c>
      <c r="K36" s="621" t="str">
        <f>VLOOKUP($C36,Master!$F:$AU,K$4,FALSE)</f>
        <v>Procurement Executive</v>
      </c>
      <c r="L36" s="621" t="str">
        <f>VLOOKUP($C36,Master!$F:$AU,L$4,FALSE)</f>
        <v>Nadeem Akhtar</v>
      </c>
      <c r="M36" s="622" t="str">
        <f>VLOOKUP($C36,Master!$F:$AU,M$4,FALSE)</f>
        <v>HW</v>
      </c>
      <c r="N36" s="622" t="str">
        <f>VLOOKUP($C36,Master!$F:$AU,N$4,FALSE)</f>
        <v>ITN</v>
      </c>
      <c r="O36" s="618" t="str">
        <f>VLOOKUP($C36,Master!$F:$AU,O$4,FALSE)</f>
        <v>P</v>
      </c>
      <c r="P36" s="623">
        <f>VLOOKUP($C36,Master!$F:$AU,P$4,FALSE)</f>
        <v>65000</v>
      </c>
      <c r="Q36" s="623">
        <f>VLOOKUP($C36,Master!$F:$AU,Q$4,FALSE)</f>
        <v>40625</v>
      </c>
      <c r="R36" s="623">
        <f>VLOOKUP($C36,Master!$F:$AU,R$4,FALSE)</f>
        <v>16250</v>
      </c>
      <c r="S36" s="623">
        <f>VLOOKUP($C36,Master!$F:$AU,S$4,FALSE)</f>
        <v>4062.5</v>
      </c>
      <c r="T36" s="623">
        <f>VLOOKUP($C36,Master!$F:$AU,T$4,FALSE)</f>
        <v>4062.5</v>
      </c>
      <c r="U36" s="623">
        <f>VLOOKUP($C36,Master!$F:$AU,U$4,FALSE)</f>
        <v>65000</v>
      </c>
      <c r="V36" s="624">
        <f>VLOOKUP($C36,Master!$F:$AU,V$4,FALSE)</f>
        <v>0</v>
      </c>
      <c r="W36" s="623">
        <f>VLOOKUP($C36,Master!$F:$AU,W$4,FALSE)</f>
        <v>0</v>
      </c>
      <c r="X36" s="623">
        <f>VLOOKUP($C36,Master!$F:$AU,X$4,FALSE)</f>
        <v>0</v>
      </c>
      <c r="Y36" s="623">
        <f>VLOOKUP($C36,Master!$F:$AU,Y$4,FALSE)</f>
        <v>0</v>
      </c>
      <c r="Z36" s="623">
        <f>VLOOKUP($C36,Master!$F:$AU,Z$4,FALSE)</f>
        <v>0</v>
      </c>
      <c r="AA36" s="625">
        <f>VLOOKUP($C36,Master!$F:$AU,AA$4,FALSE)</f>
        <v>361.11111111111109</v>
      </c>
      <c r="AB36" s="625">
        <f>VLOOKUP($C36,Master!$F:$AU,AB$4,FALSE)</f>
        <v>0</v>
      </c>
      <c r="AC36" s="625">
        <f>VLOOKUP($C36,Master!$F:$AU,AC$4,FALSE)</f>
        <v>0</v>
      </c>
      <c r="AD36" s="623">
        <f>VLOOKUP($C36,Master!$F:$AU,AD$4,FALSE)</f>
        <v>65000</v>
      </c>
      <c r="AE36" s="623">
        <f>VLOOKUP($C36,Master!$F:$AU,AE$4,FALSE)</f>
        <v>0</v>
      </c>
      <c r="AF36" s="623">
        <f>VLOOKUP($C36,Master!$F:$AU,AF$4,FALSE)</f>
        <v>250</v>
      </c>
      <c r="AG36" s="623">
        <f>VLOOKUP($C36,Master!$F:$AU,AG$4,FALSE)</f>
        <v>0</v>
      </c>
      <c r="AH36" s="623">
        <f>VLOOKUP($C36,Master!$F:$AU,AH$4,FALSE)</f>
        <v>0</v>
      </c>
      <c r="AI36" s="626">
        <f>VLOOKUP($C36,Master!$F:$AU,AI$4,FALSE)</f>
        <v>64750</v>
      </c>
      <c r="AJ36" s="623" t="str">
        <f>VLOOKUP($C36,Master!$F:$AU,AJ$4,FALSE)</f>
        <v>Habib Bank Limited</v>
      </c>
      <c r="AK36" s="627" t="str">
        <f>VLOOKUP($C36,Master!$F:$AU,AK$4,FALSE)</f>
        <v>0017-79008521-03</v>
      </c>
      <c r="AL36" s="628">
        <v>4220183656393</v>
      </c>
      <c r="AM36" s="620" t="str">
        <f>VLOOKUP($C36,Master!$F:$AU,AM$4,FALSE)</f>
        <v>Muhammad Khawar</v>
      </c>
      <c r="AN36" s="623">
        <f>VLOOKUP($C36,Master!$F:$AU,AN$4,FALSE)</f>
        <v>64750</v>
      </c>
      <c r="AO36" s="623">
        <f>VLOOKUP($C36,Master!$F:$AU,AO$4,FALSE)</f>
        <v>0</v>
      </c>
      <c r="AP36" s="623">
        <f>VLOOKUP($C36,Master!$F:$AU,AP$4,FALSE)</f>
        <v>0</v>
      </c>
      <c r="AQ36" s="623">
        <f>VLOOKUP($C36,Master!$F:$AU,AQ$4,FALSE)</f>
        <v>0</v>
      </c>
      <c r="AR36" s="623">
        <f>VLOOKUP($C36,Master!$F:$AU,AR$4,FALSE)</f>
        <v>0</v>
      </c>
      <c r="AS36" s="673">
        <f>VLOOKUP($C36,Master!$F:$AU,AS$4,FALSE)</f>
        <v>64750</v>
      </c>
      <c r="AT36" s="623">
        <f>VLOOKUP($C36,Master!$F:$AU,AT$4,FALSE)</f>
        <v>0</v>
      </c>
      <c r="AU36" s="623">
        <f>VLOOKUP($C36,Master!$F:$AU,AU$4,FALSE)</f>
        <v>64750</v>
      </c>
      <c r="AW36" s="629"/>
      <c r="AX36" s="631">
        <f>+Master!$K$1</f>
        <v>276</v>
      </c>
      <c r="AY36" s="632">
        <f t="shared" si="24"/>
        <v>235.50724637681159</v>
      </c>
    </row>
    <row r="37" spans="1:51" s="617" customFormat="1" ht="45" customHeight="1" x14ac:dyDescent="0.3">
      <c r="B37" s="618">
        <f t="shared" ref="B37:B39" si="25">+B36+1</f>
        <v>23</v>
      </c>
      <c r="C37" s="618">
        <v>44</v>
      </c>
      <c r="D37" s="630">
        <f>_xlfn.XLOOKUP(C37,Master[Emp Code],Master[date of last increment])</f>
        <v>43830</v>
      </c>
      <c r="E37" s="618">
        <f>_xlfn.XLOOKUP(C37,Master[Emp Code],Master[[last incremnet ]])</f>
        <v>50000</v>
      </c>
      <c r="F37" s="618">
        <f>_xlfn.XLOOKUP(C37,Master[Emp Code],Master['# Months Since Last Increment])</f>
        <v>4</v>
      </c>
      <c r="G37" s="619">
        <f>VLOOKUP($C37,Master!$F:$AU,G$4,FALSE)</f>
        <v>42825</v>
      </c>
      <c r="H37" s="618" t="str">
        <f>VLOOKUP($C37,Master!$F:$AU,H$4,FALSE)</f>
        <v>CT</v>
      </c>
      <c r="I37" s="620" t="str">
        <f>VLOOKUP($C37,Master!$F:$AU,I$4,FALSE)</f>
        <v>Nadeem Akhtar</v>
      </c>
      <c r="J37" s="621" t="str">
        <f>VLOOKUP($C37,Master!$F:$AU,J$4,FALSE)</f>
        <v>Sales</v>
      </c>
      <c r="K37" s="621" t="str">
        <f>VLOOKUP($C37,Master!$F:$AU,K$4,FALSE)</f>
        <v>International Sales Executive</v>
      </c>
      <c r="L37" s="621" t="str">
        <f>VLOOKUP($C37,Master!$F:$AU,L$4,FALSE)</f>
        <v>Wahaj Qureshi</v>
      </c>
      <c r="M37" s="622" t="str">
        <f>VLOOKUP($C37,Master!$F:$AU,M$4,FALSE)</f>
        <v>HW</v>
      </c>
      <c r="N37" s="622" t="str">
        <f>VLOOKUP($C37,Master!$F:$AU,N$4,FALSE)</f>
        <v>ITN</v>
      </c>
      <c r="O37" s="618" t="str">
        <f>VLOOKUP($C37,Master!$F:$AU,O$4,FALSE)</f>
        <v>P</v>
      </c>
      <c r="P37" s="623">
        <f>VLOOKUP($C37,Master!$F:$AU,P$4,FALSE)</f>
        <v>200000</v>
      </c>
      <c r="Q37" s="623">
        <f>VLOOKUP($C37,Master!$F:$AU,Q$4,FALSE)</f>
        <v>125000</v>
      </c>
      <c r="R37" s="623">
        <f>VLOOKUP($C37,Master!$F:$AU,R$4,FALSE)</f>
        <v>50000</v>
      </c>
      <c r="S37" s="623">
        <f>VLOOKUP($C37,Master!$F:$AU,S$4,FALSE)</f>
        <v>12500</v>
      </c>
      <c r="T37" s="623">
        <f>VLOOKUP($C37,Master!$F:$AU,T$4,FALSE)</f>
        <v>12500</v>
      </c>
      <c r="U37" s="623">
        <f>VLOOKUP($C37,Master!$F:$AU,U$4,FALSE)</f>
        <v>200000</v>
      </c>
      <c r="V37" s="624">
        <f>VLOOKUP($C37,Master!$F:$AU,V$4,FALSE)</f>
        <v>0</v>
      </c>
      <c r="W37" s="623">
        <f>VLOOKUP($C37,Master!$F:$AU,W$4,FALSE)</f>
        <v>0</v>
      </c>
      <c r="X37" s="623">
        <f>VLOOKUP($C37,Master!$F:$AU,X$4,FALSE)</f>
        <v>0</v>
      </c>
      <c r="Y37" s="623">
        <f>VLOOKUP($C37,Master!$F:$AU,Y$4,FALSE)</f>
        <v>0</v>
      </c>
      <c r="Z37" s="623">
        <f>VLOOKUP($C37,Master!$F:$AU,Z$4,FALSE)</f>
        <v>0</v>
      </c>
      <c r="AA37" s="625">
        <f>VLOOKUP($C37,Master!$F:$AU,AA$4,FALSE)</f>
        <v>1111.1111111111111</v>
      </c>
      <c r="AB37" s="625">
        <f>VLOOKUP($C37,Master!$F:$AU,AB$4,FALSE)</f>
        <v>0</v>
      </c>
      <c r="AC37" s="625">
        <f>VLOOKUP($C37,Master!$F:$AU,AC$4,FALSE)</f>
        <v>0</v>
      </c>
      <c r="AD37" s="623">
        <f>VLOOKUP($C37,Master!$F:$AU,AD$4,FALSE)</f>
        <v>200000</v>
      </c>
      <c r="AE37" s="623">
        <f>VLOOKUP($C37,Master!$F:$AU,AE$4,FALSE)</f>
        <v>10302.6</v>
      </c>
      <c r="AF37" s="623">
        <f>VLOOKUP($C37,Master!$F:$AU,AF$4,FALSE)</f>
        <v>250</v>
      </c>
      <c r="AG37" s="623">
        <f>VLOOKUP($C37,Master!$F:$AU,AG$4,FALSE)</f>
        <v>0</v>
      </c>
      <c r="AH37" s="623">
        <f>VLOOKUP($C37,Master!$F:$AU,AH$4,FALSE)</f>
        <v>0</v>
      </c>
      <c r="AI37" s="626">
        <f>VLOOKUP($C37,Master!$F:$AU,AI$4,FALSE)</f>
        <v>189447.4</v>
      </c>
      <c r="AJ37" s="623" t="str">
        <f>VLOOKUP($C37,Master!$F:$AU,AJ$4,FALSE)</f>
        <v>Habib Bank Limited</v>
      </c>
      <c r="AK37" s="627" t="str">
        <f>VLOOKUP($C37,Master!$F:$AU,AK$4,FALSE)</f>
        <v>0017-79008162-03</v>
      </c>
      <c r="AL37" s="628" t="str">
        <f>VLOOKUP($C37,Master!$F:$AU,AL$4,FALSE)</f>
        <v>42201-0590958-3</v>
      </c>
      <c r="AM37" s="620" t="str">
        <f>VLOOKUP($C37,Master!$F:$AU,AM$4,FALSE)</f>
        <v>Nadeem Akhtar</v>
      </c>
      <c r="AN37" s="623">
        <f>VLOOKUP($C37,Master!$F:$AU,AN$4,FALSE)</f>
        <v>189447.4</v>
      </c>
      <c r="AO37" s="623">
        <f>VLOOKUP($C37,Master!$F:$AU,AO$4,FALSE)</f>
        <v>0</v>
      </c>
      <c r="AP37" s="623">
        <f>VLOOKUP($C37,Master!$F:$AU,AP$4,FALSE)</f>
        <v>0</v>
      </c>
      <c r="AQ37" s="623">
        <f>VLOOKUP($C37,Master!$F:$AU,AQ$4,FALSE)</f>
        <v>0</v>
      </c>
      <c r="AR37" s="623">
        <f>VLOOKUP($C37,Master!$F:$AU,AR$4,FALSE)</f>
        <v>0</v>
      </c>
      <c r="AS37" s="673">
        <f>VLOOKUP($C37,Master!$F:$AU,AS$4,FALSE)</f>
        <v>189447.4</v>
      </c>
      <c r="AT37" s="623">
        <f>VLOOKUP($C37,Master!$F:$AU,AT$4,FALSE)</f>
        <v>0</v>
      </c>
      <c r="AU37" s="623">
        <f>VLOOKUP($C37,Master!$F:$AU,AU$4,FALSE)</f>
        <v>189447.4</v>
      </c>
      <c r="AW37" s="629"/>
      <c r="AX37" s="631">
        <f>+Master!$K$1</f>
        <v>276</v>
      </c>
      <c r="AY37" s="632">
        <f t="shared" si="24"/>
        <v>724.63768115942025</v>
      </c>
    </row>
    <row r="38" spans="1:51" s="617" customFormat="1" ht="45" customHeight="1" x14ac:dyDescent="0.3">
      <c r="B38" s="618">
        <f t="shared" si="25"/>
        <v>24</v>
      </c>
      <c r="C38" s="618">
        <v>180</v>
      </c>
      <c r="D38" s="630">
        <f>_xlfn.XLOOKUP(C38,Master[Emp Code],Master[date of last increment])</f>
        <v>43830</v>
      </c>
      <c r="E38" s="618">
        <f>_xlfn.XLOOKUP(C38,Master[Emp Code],Master[[last incremnet ]])</f>
        <v>35000</v>
      </c>
      <c r="F38" s="618">
        <f>_xlfn.XLOOKUP(C38,Master[Emp Code],Master['# Months Since Last Increment])</f>
        <v>4</v>
      </c>
      <c r="G38" s="619">
        <f>VLOOKUP($C38,Master!$F:$AU,G$4,FALSE)</f>
        <v>43307</v>
      </c>
      <c r="H38" s="618" t="str">
        <f>VLOOKUP($C38,Master!$F:$AU,H$4,FALSE)</f>
        <v>CT</v>
      </c>
      <c r="I38" s="620" t="str">
        <f>VLOOKUP($C38,Master!$F:$AU,I$4,FALSE)</f>
        <v>Asif Ahmed</v>
      </c>
      <c r="J38" s="621" t="str">
        <f>VLOOKUP($C38,Master!$F:$AU,J$4,FALSE)</f>
        <v>Sales</v>
      </c>
      <c r="K38" s="621" t="str">
        <f>VLOOKUP($C38,Master!$F:$AU,K$4,FALSE)</f>
        <v>International Sales Executive</v>
      </c>
      <c r="L38" s="621" t="str">
        <f>VLOOKUP($C38,Master!$F:$AU,L$4,FALSE)</f>
        <v>Nadeem Akhtar</v>
      </c>
      <c r="M38" s="622" t="str">
        <f>VLOOKUP($C38,Master!$F:$AU,M$4,FALSE)</f>
        <v>HW</v>
      </c>
      <c r="N38" s="622" t="str">
        <f>VLOOKUP($C38,Master!$F:$AU,N$4,FALSE)</f>
        <v>ITN</v>
      </c>
      <c r="O38" s="618" t="str">
        <f>VLOOKUP($C38,Master!$F:$AU,O$4,FALSE)</f>
        <v>P</v>
      </c>
      <c r="P38" s="623">
        <f>VLOOKUP($C38,Master!$F:$AU,P$4,FALSE)</f>
        <v>105000</v>
      </c>
      <c r="Q38" s="623">
        <f>VLOOKUP($C38,Master!$F:$AU,Q$4,FALSE)</f>
        <v>65625</v>
      </c>
      <c r="R38" s="623">
        <f>VLOOKUP($C38,Master!$F:$AU,R$4,FALSE)</f>
        <v>26250</v>
      </c>
      <c r="S38" s="623">
        <f>VLOOKUP($C38,Master!$F:$AU,S$4,FALSE)</f>
        <v>6562.5</v>
      </c>
      <c r="T38" s="623">
        <f>VLOOKUP($C38,Master!$F:$AU,T$4,FALSE)</f>
        <v>6562.5</v>
      </c>
      <c r="U38" s="623">
        <f>VLOOKUP($C38,Master!$F:$AU,U$4,FALSE)</f>
        <v>105000</v>
      </c>
      <c r="V38" s="624">
        <f>VLOOKUP($C38,Master!$F:$AU,V$4,FALSE)</f>
        <v>0</v>
      </c>
      <c r="W38" s="623">
        <f>VLOOKUP($C38,Master!$F:$AU,W$4,FALSE)</f>
        <v>0</v>
      </c>
      <c r="X38" s="623">
        <f>VLOOKUP($C38,Master!$F:$AU,X$4,FALSE)</f>
        <v>0</v>
      </c>
      <c r="Y38" s="623">
        <f>VLOOKUP($C38,Master!$F:$AU,Y$4,FALSE)</f>
        <v>0</v>
      </c>
      <c r="Z38" s="623">
        <f>VLOOKUP($C38,Master!$F:$AU,Z$4,FALSE)</f>
        <v>0</v>
      </c>
      <c r="AA38" s="625">
        <f>VLOOKUP($C38,Master!$F:$AU,AA$4,FALSE)</f>
        <v>583.33333333333337</v>
      </c>
      <c r="AB38" s="625">
        <f>VLOOKUP($C38,Master!$F:$AU,AB$4,FALSE)</f>
        <v>0</v>
      </c>
      <c r="AC38" s="625">
        <f>VLOOKUP($C38,Master!$F:$AU,AC$4,FALSE)</f>
        <v>0</v>
      </c>
      <c r="AD38" s="623">
        <f>VLOOKUP($C38,Master!$F:$AU,AD$4,FALSE)</f>
        <v>105000</v>
      </c>
      <c r="AE38" s="623">
        <f>VLOOKUP($C38,Master!$F:$AU,AE$4,FALSE)</f>
        <v>1011.4</v>
      </c>
      <c r="AF38" s="623">
        <f>VLOOKUP($C38,Master!$F:$AU,AF$4,FALSE)</f>
        <v>0</v>
      </c>
      <c r="AG38" s="623">
        <f>VLOOKUP($C38,Master!$F:$AU,AG$4,FALSE)</f>
        <v>0</v>
      </c>
      <c r="AH38" s="623">
        <f>VLOOKUP($C38,Master!$F:$AU,AH$4,FALSE)</f>
        <v>0</v>
      </c>
      <c r="AI38" s="626">
        <f>VLOOKUP($C38,Master!$F:$AU,AI$4,FALSE)</f>
        <v>103988.6</v>
      </c>
      <c r="AJ38" s="623" t="str">
        <f>VLOOKUP($C38,Master!$F:$AU,AJ$4,FALSE)</f>
        <v>Habib Bank Limited</v>
      </c>
      <c r="AK38" s="627" t="str">
        <f>VLOOKUP($C38,Master!$F:$AU,AK$4,FALSE)</f>
        <v>0017-79008816-03</v>
      </c>
      <c r="AL38" s="628" t="str">
        <f>VLOOKUP($C38,Master!$F:$AU,AL$4,FALSE)</f>
        <v>45203-6460366-1</v>
      </c>
      <c r="AM38" s="620" t="str">
        <f>VLOOKUP($C38,Master!$F:$AU,AM$4,FALSE)</f>
        <v>ASIF AHMED</v>
      </c>
      <c r="AN38" s="623">
        <f>VLOOKUP($C38,Master!$F:$AU,AN$4,FALSE)</f>
        <v>103988.6</v>
      </c>
      <c r="AO38" s="623">
        <f>VLOOKUP($C38,Master!$F:$AU,AO$4,FALSE)</f>
        <v>0</v>
      </c>
      <c r="AP38" s="623">
        <f>VLOOKUP($C38,Master!$F:$AU,AP$4,FALSE)</f>
        <v>0</v>
      </c>
      <c r="AQ38" s="623">
        <f>VLOOKUP($C38,Master!$F:$AU,AQ$4,FALSE)</f>
        <v>0</v>
      </c>
      <c r="AR38" s="623">
        <f>VLOOKUP($C38,Master!$F:$AU,AR$4,FALSE)</f>
        <v>0</v>
      </c>
      <c r="AS38" s="673">
        <f>VLOOKUP($C38,Master!$F:$AU,AS$4,FALSE)</f>
        <v>103988.6</v>
      </c>
      <c r="AT38" s="623">
        <f>VLOOKUP($C38,Master!$F:$AU,AT$4,FALSE)</f>
        <v>0</v>
      </c>
      <c r="AU38" s="623">
        <f>VLOOKUP($C38,Master!$F:$AU,AU$4,FALSE)</f>
        <v>103988.6</v>
      </c>
      <c r="AW38" s="629"/>
      <c r="AX38" s="631">
        <f>+Master!$K$1</f>
        <v>276</v>
      </c>
      <c r="AY38" s="632">
        <f t="shared" si="24"/>
        <v>380.43478260869563</v>
      </c>
    </row>
    <row r="39" spans="1:51" s="617" customFormat="1" ht="45" customHeight="1" x14ac:dyDescent="0.3">
      <c r="B39" s="618">
        <f t="shared" si="25"/>
        <v>25</v>
      </c>
      <c r="C39" s="618">
        <v>182</v>
      </c>
      <c r="D39" s="630">
        <f>_xlfn.XLOOKUP(C39,Master[Emp Code],Master[date of last increment])</f>
        <v>43830</v>
      </c>
      <c r="E39" s="618">
        <f>_xlfn.XLOOKUP(C39,Master[Emp Code],Master[[last incremnet ]])</f>
        <v>30000</v>
      </c>
      <c r="F39" s="618">
        <f>_xlfn.XLOOKUP(C39,Master[Emp Code],Master['# Months Since Last Increment])</f>
        <v>4</v>
      </c>
      <c r="G39" s="619">
        <f>VLOOKUP($C39,Master!$F:$AU,G$4,FALSE)</f>
        <v>43404</v>
      </c>
      <c r="H39" s="618" t="str">
        <f>VLOOKUP($C39,Master!$F:$AU,H$4,FALSE)</f>
        <v>CT</v>
      </c>
      <c r="I39" s="620" t="str">
        <f>VLOOKUP($C39,Master!$F:$AU,I$4,FALSE)</f>
        <v>Muhammad Haris Khan</v>
      </c>
      <c r="J39" s="621" t="str">
        <f>VLOOKUP($C39,Master!$F:$AU,J$4,FALSE)</f>
        <v>Sales</v>
      </c>
      <c r="K39" s="621" t="str">
        <f>VLOOKUP($C39,Master!$F:$AU,K$4,FALSE)</f>
        <v>International Sales Executive</v>
      </c>
      <c r="L39" s="621" t="str">
        <f>VLOOKUP($C39,Master!$F:$AU,L$4,FALSE)</f>
        <v>Nadeem Akhtar</v>
      </c>
      <c r="M39" s="622" t="str">
        <f>VLOOKUP($C39,Master!$F:$AU,M$4,FALSE)</f>
        <v>HW</v>
      </c>
      <c r="N39" s="622" t="str">
        <f>VLOOKUP($C39,Master!$F:$AU,N$4,FALSE)</f>
        <v>ITN</v>
      </c>
      <c r="O39" s="618" t="str">
        <f>VLOOKUP($C39,Master!$F:$AU,O$4,FALSE)</f>
        <v>P</v>
      </c>
      <c r="P39" s="623">
        <f>VLOOKUP($C39,Master!$F:$AU,P$4,FALSE)</f>
        <v>80000</v>
      </c>
      <c r="Q39" s="623">
        <f>VLOOKUP($C39,Master!$F:$AU,Q$4,FALSE)</f>
        <v>50000</v>
      </c>
      <c r="R39" s="623">
        <f>VLOOKUP($C39,Master!$F:$AU,R$4,FALSE)</f>
        <v>20000</v>
      </c>
      <c r="S39" s="623">
        <f>VLOOKUP($C39,Master!$F:$AU,S$4,FALSE)</f>
        <v>5000</v>
      </c>
      <c r="T39" s="623">
        <f>VLOOKUP($C39,Master!$F:$AU,T$4,FALSE)</f>
        <v>5000</v>
      </c>
      <c r="U39" s="623">
        <f>VLOOKUP($C39,Master!$F:$AU,U$4,FALSE)</f>
        <v>80000</v>
      </c>
      <c r="V39" s="624">
        <f>VLOOKUP($C39,Master!$F:$AU,V$4,FALSE)</f>
        <v>0</v>
      </c>
      <c r="W39" s="623">
        <f>VLOOKUP($C39,Master!$F:$AU,W$4,FALSE)</f>
        <v>0</v>
      </c>
      <c r="X39" s="623">
        <f>VLOOKUP($C39,Master!$F:$AU,X$4,FALSE)</f>
        <v>0</v>
      </c>
      <c r="Y39" s="623">
        <f>VLOOKUP($C39,Master!$F:$AU,Y$4,FALSE)</f>
        <v>0</v>
      </c>
      <c r="Z39" s="623">
        <f>VLOOKUP($C39,Master!$F:$AU,Z$4,FALSE)</f>
        <v>0</v>
      </c>
      <c r="AA39" s="625">
        <f>VLOOKUP($C39,Master!$F:$AU,AA$4,FALSE)</f>
        <v>444.44444444444446</v>
      </c>
      <c r="AB39" s="625">
        <f>VLOOKUP($C39,Master!$F:$AU,AB$4,FALSE)</f>
        <v>0</v>
      </c>
      <c r="AC39" s="625">
        <f>VLOOKUP($C39,Master!$F:$AU,AC$4,FALSE)</f>
        <v>0</v>
      </c>
      <c r="AD39" s="623">
        <f>VLOOKUP($C39,Master!$F:$AU,AD$4,FALSE)</f>
        <v>80000</v>
      </c>
      <c r="AE39" s="623">
        <f>VLOOKUP($C39,Master!$F:$AU,AE$4,FALSE)</f>
        <v>492</v>
      </c>
      <c r="AF39" s="623">
        <f>VLOOKUP($C39,Master!$F:$AU,AF$4,FALSE)</f>
        <v>0</v>
      </c>
      <c r="AG39" s="623">
        <f>VLOOKUP($C39,Master!$F:$AU,AG$4,FALSE)</f>
        <v>0</v>
      </c>
      <c r="AH39" s="623">
        <f>VLOOKUP($C39,Master!$F:$AU,AH$4,FALSE)</f>
        <v>0</v>
      </c>
      <c r="AI39" s="626">
        <f>VLOOKUP($C39,Master!$F:$AU,AI$4,FALSE)</f>
        <v>79508</v>
      </c>
      <c r="AJ39" s="623" t="str">
        <f>VLOOKUP($C39,Master!$F:$AU,AJ$4,FALSE)</f>
        <v>Habib Bank Limited</v>
      </c>
      <c r="AK39" s="627" t="str">
        <f>VLOOKUP($C39,Master!$F:$AU,AK$4,FALSE)</f>
        <v>0017-79008955-03</v>
      </c>
      <c r="AL39" s="628" t="str">
        <f>VLOOKUP($C39,Master!$F:$AU,AL$4,FALSE)</f>
        <v>42201-9177582-9</v>
      </c>
      <c r="AM39" s="620" t="str">
        <f>VLOOKUP($C39,Master!$F:$AU,AM$4,FALSE)</f>
        <v>Muhammad Haris</v>
      </c>
      <c r="AN39" s="661">
        <f>VLOOKUP($C39,Master!$F:$AU,AN$4,FALSE)</f>
        <v>79508</v>
      </c>
      <c r="AO39" s="661">
        <f>VLOOKUP($C39,Master!$F:$AU,AO$4,FALSE)</f>
        <v>0</v>
      </c>
      <c r="AP39" s="661">
        <f>VLOOKUP($C39,Master!$F:$AU,AP$4,FALSE)</f>
        <v>0</v>
      </c>
      <c r="AQ39" s="661">
        <f>VLOOKUP($C39,Master!$F:$AU,AQ$4,FALSE)</f>
        <v>0</v>
      </c>
      <c r="AR39" s="661">
        <f>VLOOKUP($C39,Master!$F:$AU,AR$4,FALSE)</f>
        <v>0</v>
      </c>
      <c r="AS39" s="674">
        <f>VLOOKUP($C39,Master!$F:$AU,AS$4,FALSE)</f>
        <v>79508</v>
      </c>
      <c r="AT39" s="661">
        <f>VLOOKUP($C39,Master!$F:$AU,AT$4,FALSE)</f>
        <v>0</v>
      </c>
      <c r="AU39" s="661">
        <f>VLOOKUP($C39,Master!$F:$AU,AU$4,FALSE)</f>
        <v>79508</v>
      </c>
      <c r="AW39" s="629"/>
      <c r="AX39" s="631">
        <f>+Master!$K$1</f>
        <v>276</v>
      </c>
      <c r="AY39" s="632">
        <f t="shared" si="24"/>
        <v>289.85507246376812</v>
      </c>
    </row>
    <row r="40" spans="1:51" s="617" customFormat="1" ht="45" customHeight="1" x14ac:dyDescent="0.3">
      <c r="B40" s="618"/>
      <c r="C40" s="618"/>
      <c r="D40" s="618"/>
      <c r="E40" s="618"/>
      <c r="F40" s="618"/>
      <c r="G40" s="619"/>
      <c r="H40" s="618"/>
      <c r="I40" s="620"/>
      <c r="J40" s="621"/>
      <c r="K40" s="621"/>
      <c r="L40" s="621"/>
      <c r="M40" s="622"/>
      <c r="N40" s="622"/>
      <c r="O40" s="618"/>
      <c r="P40" s="641">
        <f t="shared" ref="P40:V40" si="26">SUBTOTAL(9,P35:P39)</f>
        <v>560000</v>
      </c>
      <c r="Q40" s="641">
        <f t="shared" si="26"/>
        <v>350000</v>
      </c>
      <c r="R40" s="641">
        <f t="shared" si="26"/>
        <v>140000</v>
      </c>
      <c r="S40" s="641">
        <f t="shared" si="26"/>
        <v>35000</v>
      </c>
      <c r="T40" s="641">
        <f t="shared" si="26"/>
        <v>35000</v>
      </c>
      <c r="U40" s="641">
        <f t="shared" si="26"/>
        <v>560000</v>
      </c>
      <c r="V40" s="641">
        <f t="shared" si="26"/>
        <v>0</v>
      </c>
      <c r="W40" s="623"/>
      <c r="X40" s="641">
        <f>SUBTOTAL(9,X35:X39)</f>
        <v>0</v>
      </c>
      <c r="Y40" s="623"/>
      <c r="Z40" s="641">
        <f>SUBTOTAL(9,Z35:Z39)</f>
        <v>0</v>
      </c>
      <c r="AA40" s="625"/>
      <c r="AB40" s="625"/>
      <c r="AC40" s="641">
        <f t="shared" ref="AC40:AI40" si="27">SUBTOTAL(9,AC35:AC39)</f>
        <v>0</v>
      </c>
      <c r="AD40" s="641">
        <f t="shared" si="27"/>
        <v>560000</v>
      </c>
      <c r="AE40" s="641">
        <f t="shared" si="27"/>
        <v>14868</v>
      </c>
      <c r="AF40" s="641">
        <f t="shared" si="27"/>
        <v>750</v>
      </c>
      <c r="AG40" s="641">
        <f t="shared" si="27"/>
        <v>0</v>
      </c>
      <c r="AH40" s="641">
        <f t="shared" si="27"/>
        <v>10000</v>
      </c>
      <c r="AI40" s="643">
        <f t="shared" si="27"/>
        <v>534382</v>
      </c>
      <c r="AJ40" s="623"/>
      <c r="AK40" s="627"/>
      <c r="AL40" s="628"/>
      <c r="AM40" s="620"/>
      <c r="AN40" s="641">
        <f t="shared" ref="AN40:AU40" si="28">SUBTOTAL(9,AN35:AN39)</f>
        <v>534382</v>
      </c>
      <c r="AO40" s="641">
        <f t="shared" si="28"/>
        <v>0</v>
      </c>
      <c r="AP40" s="641">
        <f t="shared" si="28"/>
        <v>0</v>
      </c>
      <c r="AQ40" s="641">
        <f t="shared" si="28"/>
        <v>0</v>
      </c>
      <c r="AR40" s="641">
        <f t="shared" si="28"/>
        <v>0</v>
      </c>
      <c r="AS40" s="643">
        <f t="shared" si="28"/>
        <v>534382</v>
      </c>
      <c r="AT40" s="641">
        <f t="shared" si="28"/>
        <v>0</v>
      </c>
      <c r="AU40" s="641">
        <f t="shared" si="28"/>
        <v>534382</v>
      </c>
      <c r="AW40" s="629"/>
      <c r="AX40" s="631"/>
      <c r="AY40" s="641">
        <f>SUBTOTAL(9,AY35:AY39)</f>
        <v>2028.9855072463765</v>
      </c>
    </row>
    <row r="41" spans="1:51" s="617" customFormat="1" ht="42" customHeight="1" x14ac:dyDescent="0.3">
      <c r="B41" s="618"/>
      <c r="C41" s="618"/>
      <c r="D41" s="618"/>
      <c r="E41" s="618"/>
      <c r="F41" s="618"/>
      <c r="G41" s="619"/>
      <c r="H41" s="618"/>
      <c r="I41" s="620"/>
      <c r="J41" s="621"/>
      <c r="K41" s="621"/>
      <c r="L41" s="621"/>
      <c r="M41" s="622"/>
      <c r="N41" s="622"/>
      <c r="O41" s="618"/>
      <c r="P41" s="623"/>
      <c r="Q41" s="623"/>
      <c r="R41" s="623"/>
      <c r="S41" s="623"/>
      <c r="T41" s="623"/>
      <c r="U41" s="623"/>
      <c r="V41" s="624"/>
      <c r="W41" s="623"/>
      <c r="X41" s="623"/>
      <c r="Y41" s="623"/>
      <c r="Z41" s="623"/>
      <c r="AA41" s="625"/>
      <c r="AB41" s="625"/>
      <c r="AC41" s="625"/>
      <c r="AD41" s="623"/>
      <c r="AE41" s="623"/>
      <c r="AF41" s="623"/>
      <c r="AG41" s="623"/>
      <c r="AH41" s="623"/>
      <c r="AI41" s="626"/>
      <c r="AJ41" s="623"/>
      <c r="AK41" s="627"/>
      <c r="AL41" s="628"/>
      <c r="AM41" s="620"/>
      <c r="AN41" s="623"/>
      <c r="AO41" s="623"/>
      <c r="AP41" s="623"/>
      <c r="AQ41" s="623"/>
      <c r="AR41" s="623"/>
      <c r="AS41" s="673"/>
      <c r="AT41" s="623"/>
      <c r="AU41" s="623"/>
      <c r="AW41" s="629"/>
      <c r="AX41" s="631"/>
      <c r="AY41" s="632"/>
    </row>
    <row r="42" spans="1:51" s="617" customFormat="1" ht="49.8" customHeight="1" x14ac:dyDescent="0.3">
      <c r="B42" s="618">
        <f>+B39+1</f>
        <v>26</v>
      </c>
      <c r="C42" s="618">
        <v>702</v>
      </c>
      <c r="D42" s="630">
        <f>_xlfn.XLOOKUP(C42,Master[Emp Code],Master[date of last increment])</f>
        <v>43861</v>
      </c>
      <c r="E42" s="618">
        <f>_xlfn.XLOOKUP(C42,Master[Emp Code],Master[[last incremnet ]])</f>
        <v>30000</v>
      </c>
      <c r="F42" s="618">
        <f>_xlfn.XLOOKUP(C42,Master[Emp Code],Master['# Months Since Last Increment])</f>
        <v>3</v>
      </c>
      <c r="G42" s="619">
        <f>VLOOKUP($C42,Master!$F:$AU,G$4,FALSE)</f>
        <v>43684</v>
      </c>
      <c r="H42" s="618" t="str">
        <f>VLOOKUP($C42,Master!$F:$AU,H$4,FALSE)</f>
        <v>CT</v>
      </c>
      <c r="I42" s="620" t="str">
        <f>VLOOKUP($C42,Master!$F:$AU,I$4,FALSE)</f>
        <v>Fahad Naveed</v>
      </c>
      <c r="J42" s="621" t="str">
        <f>VLOOKUP($C42,Master!$F:$AU,J$4,FALSE)</f>
        <v>Sales</v>
      </c>
      <c r="K42" s="621" t="str">
        <f>VLOOKUP($C42,Master!$F:$AU,K$4,FALSE)</f>
        <v>International Sales Executive</v>
      </c>
      <c r="L42" s="621" t="str">
        <f>VLOOKUP($C42,Master!$F:$AU,L$4,FALSE)</f>
        <v>Umer Shahjahan</v>
      </c>
      <c r="M42" s="622" t="str">
        <f>VLOOKUP($C42,Master!$F:$AU,M$4,FALSE)</f>
        <v>HW</v>
      </c>
      <c r="N42" s="622" t="str">
        <f>VLOOKUP($C42,Master!$F:$AU,N$4,FALSE)</f>
        <v>BNS</v>
      </c>
      <c r="O42" s="618" t="str">
        <f>VLOOKUP($C42,Master!$F:$AU,O$4,FALSE)</f>
        <v>NP</v>
      </c>
      <c r="P42" s="623">
        <f>VLOOKUP($C42,Master!$F:$AU,P$4,FALSE)</f>
        <v>130000</v>
      </c>
      <c r="Q42" s="623">
        <f>VLOOKUP($C42,Master!$F:$AU,Q$4,FALSE)</f>
        <v>81250</v>
      </c>
      <c r="R42" s="623">
        <f>VLOOKUP($C42,Master!$F:$AU,R$4,FALSE)</f>
        <v>32500</v>
      </c>
      <c r="S42" s="623">
        <f>VLOOKUP($C42,Master!$F:$AU,S$4,FALSE)</f>
        <v>8125</v>
      </c>
      <c r="T42" s="623">
        <f>VLOOKUP($C42,Master!$F:$AU,T$4,FALSE)</f>
        <v>8125</v>
      </c>
      <c r="U42" s="623">
        <f>VLOOKUP($C42,Master!$F:$AU,U$4,FALSE)</f>
        <v>130000</v>
      </c>
      <c r="V42" s="624">
        <f>VLOOKUP($C42,Master!$F:$AU,V$4,FALSE)</f>
        <v>0</v>
      </c>
      <c r="W42" s="623">
        <f>VLOOKUP($C42,Master!$F:$AU,W$4,FALSE)</f>
        <v>0</v>
      </c>
      <c r="X42" s="623">
        <f>VLOOKUP($C42,Master!$F:$AU,X$4,FALSE)</f>
        <v>0</v>
      </c>
      <c r="Y42" s="623">
        <f>VLOOKUP($C42,Master!$F:$AU,Y$4,FALSE)</f>
        <v>0</v>
      </c>
      <c r="Z42" s="623">
        <f>VLOOKUP($C42,Master!$F:$AU,Z$4,FALSE)</f>
        <v>0</v>
      </c>
      <c r="AA42" s="625">
        <f>VLOOKUP($C42,Master!$F:$AU,AA$4,FALSE)</f>
        <v>687.83068783068791</v>
      </c>
      <c r="AB42" s="625">
        <f>VLOOKUP($C42,Master!$F:$AU,AB$4,FALSE)</f>
        <v>0</v>
      </c>
      <c r="AC42" s="625">
        <f>VLOOKUP($C42,Master!$F:$AU,AC$4,FALSE)</f>
        <v>0</v>
      </c>
      <c r="AD42" s="623">
        <f>VLOOKUP($C42,Master!$F:$AU,AD$4,FALSE)</f>
        <v>130000</v>
      </c>
      <c r="AE42" s="623">
        <f>VLOOKUP($C42,Master!$F:$AU,AE$4,FALSE)</f>
        <v>1790.25</v>
      </c>
      <c r="AF42" s="623">
        <f>VLOOKUP($C42,Master!$F:$AU,AF$4,FALSE)</f>
        <v>0</v>
      </c>
      <c r="AG42" s="623">
        <f>VLOOKUP($C42,Master!$F:$AU,AG$4,FALSE)</f>
        <v>0</v>
      </c>
      <c r="AH42" s="623">
        <f>VLOOKUP($C42,Master!$F:$AU,AH$4,FALSE)</f>
        <v>0</v>
      </c>
      <c r="AI42" s="626">
        <f>VLOOKUP($C42,Master!$F:$AU,AI$4,FALSE)</f>
        <v>128209.75</v>
      </c>
      <c r="AJ42" s="623" t="str">
        <f>VLOOKUP($C42,Master!$F:$AU,AJ$4,FALSE)</f>
        <v>Habib Bank Limited</v>
      </c>
      <c r="AK42" s="627" t="str">
        <f>VLOOKUP($C42,Master!$F:$AU,AK$4,FALSE)</f>
        <v>12427949370603</v>
      </c>
      <c r="AL42" s="628">
        <v>4210128184849</v>
      </c>
      <c r="AM42" s="620" t="str">
        <f>VLOOKUP($C42,Master!$F:$AU,AM$4,FALSE)</f>
        <v>Fahad naveed</v>
      </c>
      <c r="AN42" s="623">
        <f>VLOOKUP($C42,Master!$F:$AU,AN$4,FALSE)</f>
        <v>128209.75</v>
      </c>
      <c r="AO42" s="623">
        <f>VLOOKUP($C42,Master!$F:$AU,AO$4,FALSE)</f>
        <v>0</v>
      </c>
      <c r="AP42" s="623">
        <f>VLOOKUP($C42,Master!$F:$AU,AP$4,FALSE)</f>
        <v>0</v>
      </c>
      <c r="AQ42" s="623">
        <f>VLOOKUP($C42,Master!$F:$AU,AQ$4,FALSE)</f>
        <v>0</v>
      </c>
      <c r="AR42" s="623">
        <f>VLOOKUP($C42,Master!$F:$AU,AR$4,FALSE)</f>
        <v>0</v>
      </c>
      <c r="AS42" s="673">
        <f>VLOOKUP($C42,Master!$F:$AU,AS$4,FALSE)</f>
        <v>128209.75</v>
      </c>
      <c r="AT42" s="623">
        <f>VLOOKUP($C42,Master!$F:$AU,AT$4,FALSE)</f>
        <v>0</v>
      </c>
      <c r="AU42" s="623">
        <f>VLOOKUP($C42,Master!$F:$AU,AU$4,FALSE)</f>
        <v>128209.75</v>
      </c>
      <c r="AW42" s="629"/>
      <c r="AX42" s="631">
        <f>+Master!$K$1</f>
        <v>276</v>
      </c>
      <c r="AY42" s="632">
        <f>+AD42/AX42</f>
        <v>471.01449275362319</v>
      </c>
    </row>
    <row r="43" spans="1:51" s="617" customFormat="1" ht="49.8" customHeight="1" x14ac:dyDescent="0.3">
      <c r="B43" s="618">
        <v>27</v>
      </c>
      <c r="C43" s="634">
        <v>701</v>
      </c>
      <c r="D43" s="630">
        <f>_xlfn.XLOOKUP(C43,Master[Emp Code],Master[date of last increment])</f>
        <v>0</v>
      </c>
      <c r="E43" s="618">
        <f>_xlfn.XLOOKUP(C43,Master[Emp Code],Master[[last incremnet ]])</f>
        <v>0</v>
      </c>
      <c r="F43" s="618">
        <f>_xlfn.XLOOKUP(C43,Master[Emp Code],Master['# Months Since Last Increment])</f>
        <v>0</v>
      </c>
      <c r="G43" s="619">
        <f>VLOOKUP($C43,Master!$F:$AU,G$4,FALSE)</f>
        <v>43684</v>
      </c>
      <c r="H43" s="618" t="str">
        <f>VLOOKUP($C43,Master!$F:$AU,H$4,FALSE)</f>
        <v>CT</v>
      </c>
      <c r="I43" s="620" t="str">
        <f>VLOOKUP($C43,Master!$F:$AU,I$4,FALSE)</f>
        <v>Usman Amin</v>
      </c>
      <c r="J43" s="621" t="str">
        <f>VLOOKUP($C43,Master!$F:$AU,J$4,FALSE)</f>
        <v>Sales</v>
      </c>
      <c r="K43" s="621" t="str">
        <f>VLOOKUP($C43,Master!$F:$AU,K$4,FALSE)</f>
        <v>International Sales Executive</v>
      </c>
      <c r="L43" s="621" t="str">
        <f>VLOOKUP($C43,Master!$F:$AU,L$4,FALSE)</f>
        <v>Umer Shahjahan</v>
      </c>
      <c r="M43" s="622" t="str">
        <f>VLOOKUP($C43,Master!$F:$AU,M$4,FALSE)</f>
        <v>HW</v>
      </c>
      <c r="N43" s="622" t="str">
        <f>VLOOKUP($C43,Master!$F:$AU,N$4,FALSE)</f>
        <v>BNS</v>
      </c>
      <c r="O43" s="618" t="str">
        <f>VLOOKUP($C43,Master!$F:$AU,O$4,FALSE)</f>
        <v>NP</v>
      </c>
      <c r="P43" s="623">
        <f>VLOOKUP($C43,Master!$F:$AU,P$4,FALSE)</f>
        <v>0</v>
      </c>
      <c r="Q43" s="623">
        <f>VLOOKUP($C43,Master!$F:$AU,Q$4,FALSE)</f>
        <v>0</v>
      </c>
      <c r="R43" s="623">
        <f>VLOOKUP($C43,Master!$F:$AU,R$4,FALSE)</f>
        <v>0</v>
      </c>
      <c r="S43" s="623">
        <f>VLOOKUP($C43,Master!$F:$AU,S$4,FALSE)</f>
        <v>0</v>
      </c>
      <c r="T43" s="623">
        <f>VLOOKUP($C43,Master!$F:$AU,T$4,FALSE)</f>
        <v>0</v>
      </c>
      <c r="U43" s="623">
        <f>VLOOKUP($C43,Master!$F:$AU,U$4,FALSE)</f>
        <v>0</v>
      </c>
      <c r="V43" s="624">
        <f>VLOOKUP($C43,Master!$F:$AU,V$4,FALSE)</f>
        <v>0</v>
      </c>
      <c r="W43" s="623">
        <f>VLOOKUP($C43,Master!$F:$AU,W$4,FALSE)</f>
        <v>0</v>
      </c>
      <c r="X43" s="623">
        <f>VLOOKUP($C43,Master!$F:$AU,X$4,FALSE)</f>
        <v>0</v>
      </c>
      <c r="Y43" s="623">
        <f>VLOOKUP($C43,Master!$F:$AU,Y$4,FALSE)</f>
        <v>0</v>
      </c>
      <c r="Z43" s="623">
        <f>VLOOKUP($C43,Master!$F:$AU,Z$4,FALSE)</f>
        <v>0</v>
      </c>
      <c r="AA43" s="625">
        <f>VLOOKUP($C43,Master!$F:$AU,AA$4,FALSE)</f>
        <v>0</v>
      </c>
      <c r="AB43" s="625">
        <f>VLOOKUP($C43,Master!$F:$AU,AB$4,FALSE)</f>
        <v>0</v>
      </c>
      <c r="AC43" s="625">
        <f>VLOOKUP($C43,Master!$F:$AU,AC$4,FALSE)</f>
        <v>0</v>
      </c>
      <c r="AD43" s="623">
        <f>VLOOKUP($C43,Master!$F:$AU,AD$4,FALSE)</f>
        <v>0</v>
      </c>
      <c r="AE43" s="623">
        <f>VLOOKUP($C43,Master!$F:$AU,AE$4,FALSE)</f>
        <v>0</v>
      </c>
      <c r="AF43" s="623">
        <f>VLOOKUP($C43,Master!$F:$AU,AF$4,FALSE)</f>
        <v>0</v>
      </c>
      <c r="AG43" s="623">
        <f>VLOOKUP($C43,Master!$F:$AU,AG$4,FALSE)</f>
        <v>0</v>
      </c>
      <c r="AH43" s="623">
        <f>VLOOKUP($C43,Master!$F:$AU,AH$4,FALSE)</f>
        <v>0</v>
      </c>
      <c r="AI43" s="626">
        <f>VLOOKUP($C43,Master!$F:$AU,AI$4,FALSE)</f>
        <v>0</v>
      </c>
      <c r="AJ43" s="623" t="str">
        <f>VLOOKUP($C43,Master!$F:$AU,AJ$4,FALSE)</f>
        <v>Habib Bank Limited</v>
      </c>
      <c r="AK43" s="627" t="str">
        <f>VLOOKUP($C43,Master!$F:$AU,AK$4,FALSE)</f>
        <v>0445-79012790-99</v>
      </c>
      <c r="AL43" s="628">
        <v>4210128184849</v>
      </c>
      <c r="AM43" s="620" t="str">
        <f>VLOOKUP($C43,Master!$F:$AU,AM$4,FALSE)</f>
        <v>Muhammad ADA</v>
      </c>
      <c r="AN43" s="623">
        <f>VLOOKUP($C43,Master!$F:$AU,AN$4,FALSE)</f>
        <v>0</v>
      </c>
      <c r="AO43" s="623">
        <f>VLOOKUP($C43,Master!$F:$AU,AO$4,FALSE)</f>
        <v>0</v>
      </c>
      <c r="AP43" s="623">
        <f>VLOOKUP($C43,Master!$F:$AU,AP$4,FALSE)</f>
        <v>0</v>
      </c>
      <c r="AQ43" s="623">
        <f>VLOOKUP($C43,Master!$F:$AU,AQ$4,FALSE)</f>
        <v>0</v>
      </c>
      <c r="AR43" s="623">
        <f>VLOOKUP($C43,Master!$F:$AU,AR$4,FALSE)</f>
        <v>0</v>
      </c>
      <c r="AS43" s="673">
        <f>VLOOKUP($C43,Master!$F:$AU,AS$4,FALSE)</f>
        <v>0</v>
      </c>
      <c r="AT43" s="623">
        <f>VLOOKUP($C43,Master!$F:$AU,AT$4,FALSE)</f>
        <v>0</v>
      </c>
      <c r="AU43" s="623">
        <f>VLOOKUP($C43,Master!$F:$AU,AU$4,FALSE)</f>
        <v>0</v>
      </c>
      <c r="AW43" s="629"/>
      <c r="AX43" s="631">
        <f>+Master!$K$1</f>
        <v>276</v>
      </c>
      <c r="AY43" s="632">
        <f>+AD43/AX43</f>
        <v>0</v>
      </c>
    </row>
    <row r="44" spans="1:51" s="617" customFormat="1" ht="49.8" customHeight="1" x14ac:dyDescent="0.3">
      <c r="B44" s="618"/>
      <c r="C44" s="618"/>
      <c r="D44" s="618"/>
      <c r="E44" s="618"/>
      <c r="F44" s="618"/>
      <c r="G44" s="619"/>
      <c r="H44" s="618"/>
      <c r="I44" s="620"/>
      <c r="J44" s="621"/>
      <c r="K44" s="621"/>
      <c r="L44" s="621"/>
      <c r="M44" s="622"/>
      <c r="N44" s="622"/>
      <c r="O44" s="618"/>
      <c r="P44" s="641">
        <f>SUBTOTAL(9,P42:P43)</f>
        <v>130000</v>
      </c>
      <c r="Q44" s="641">
        <f>SUBTOTAL(9,Q40:Q43)</f>
        <v>81250</v>
      </c>
      <c r="R44" s="641">
        <f>SUBTOTAL(9,R40:R43)</f>
        <v>32500</v>
      </c>
      <c r="S44" s="641">
        <f>SUBTOTAL(9,S40:S43)</f>
        <v>8125</v>
      </c>
      <c r="T44" s="641">
        <f>SUBTOTAL(9,T40:T43)</f>
        <v>8125</v>
      </c>
      <c r="U44" s="641">
        <f>SUBTOTAL(9,U42:U43)</f>
        <v>130000</v>
      </c>
      <c r="V44" s="641">
        <f>SUBTOTAL(9,V42:V43)</f>
        <v>0</v>
      </c>
      <c r="W44" s="623"/>
      <c r="X44" s="641">
        <f>SUBTOTAL(9,X40:X43)</f>
        <v>0</v>
      </c>
      <c r="Y44" s="623"/>
      <c r="Z44" s="641">
        <f>SUBTOTAL(9,Z42:Z43)</f>
        <v>0</v>
      </c>
      <c r="AA44" s="625"/>
      <c r="AB44" s="625"/>
      <c r="AC44" s="641">
        <f t="shared" ref="AC44:AU44" si="29">SUBTOTAL(9,AC42:AC43)</f>
        <v>0</v>
      </c>
      <c r="AD44" s="641">
        <f t="shared" si="29"/>
        <v>130000</v>
      </c>
      <c r="AE44" s="641">
        <f t="shared" si="29"/>
        <v>1790.25</v>
      </c>
      <c r="AF44" s="641">
        <f t="shared" si="29"/>
        <v>0</v>
      </c>
      <c r="AG44" s="641">
        <f t="shared" si="29"/>
        <v>0</v>
      </c>
      <c r="AH44" s="641">
        <f t="shared" si="29"/>
        <v>0</v>
      </c>
      <c r="AI44" s="643">
        <f t="shared" si="29"/>
        <v>128209.75</v>
      </c>
      <c r="AJ44" s="623">
        <f t="shared" si="29"/>
        <v>0</v>
      </c>
      <c r="AK44" s="627">
        <f t="shared" si="29"/>
        <v>0</v>
      </c>
      <c r="AL44" s="628">
        <f t="shared" si="29"/>
        <v>8420256369698</v>
      </c>
      <c r="AM44" s="620">
        <f t="shared" si="29"/>
        <v>0</v>
      </c>
      <c r="AN44" s="641">
        <f t="shared" si="29"/>
        <v>128209.75</v>
      </c>
      <c r="AO44" s="641">
        <f t="shared" si="29"/>
        <v>0</v>
      </c>
      <c r="AP44" s="641">
        <f t="shared" si="29"/>
        <v>0</v>
      </c>
      <c r="AQ44" s="641">
        <f t="shared" si="29"/>
        <v>0</v>
      </c>
      <c r="AR44" s="641">
        <f t="shared" si="29"/>
        <v>0</v>
      </c>
      <c r="AS44" s="643">
        <f t="shared" si="29"/>
        <v>128209.75</v>
      </c>
      <c r="AT44" s="641">
        <f t="shared" si="29"/>
        <v>0</v>
      </c>
      <c r="AU44" s="641">
        <f t="shared" si="29"/>
        <v>128209.75</v>
      </c>
      <c r="AW44" s="629"/>
      <c r="AX44" s="631"/>
      <c r="AY44" s="641">
        <f>SUBTOTAL(9,AY42:AY43)</f>
        <v>471.01449275362319</v>
      </c>
    </row>
    <row r="45" spans="1:51" s="617" customFormat="1" ht="49.8" customHeight="1" x14ac:dyDescent="0.3">
      <c r="B45" s="618"/>
      <c r="C45" s="618"/>
      <c r="D45" s="618"/>
      <c r="E45" s="618"/>
      <c r="F45" s="618"/>
      <c r="G45" s="619"/>
      <c r="H45" s="618"/>
      <c r="I45" s="620"/>
      <c r="J45" s="621"/>
      <c r="K45" s="621"/>
      <c r="L45" s="621"/>
      <c r="M45" s="622"/>
      <c r="N45" s="622"/>
      <c r="O45" s="618"/>
      <c r="P45" s="623"/>
      <c r="Q45" s="623"/>
      <c r="R45" s="623"/>
      <c r="S45" s="623"/>
      <c r="T45" s="623"/>
      <c r="U45" s="623"/>
      <c r="V45" s="624"/>
      <c r="W45" s="623"/>
      <c r="X45" s="623"/>
      <c r="Y45" s="623"/>
      <c r="Z45" s="623"/>
      <c r="AA45" s="625"/>
      <c r="AB45" s="625"/>
      <c r="AC45" s="625"/>
      <c r="AD45" s="623"/>
      <c r="AE45" s="623"/>
      <c r="AF45" s="623"/>
      <c r="AG45" s="623"/>
      <c r="AH45" s="623"/>
      <c r="AI45" s="626"/>
      <c r="AJ45" s="623"/>
      <c r="AK45" s="627"/>
      <c r="AL45" s="628"/>
      <c r="AM45" s="620"/>
      <c r="AN45" s="623"/>
      <c r="AO45" s="623"/>
      <c r="AP45" s="623"/>
      <c r="AQ45" s="623"/>
      <c r="AR45" s="623"/>
      <c r="AS45" s="673"/>
      <c r="AT45" s="623"/>
      <c r="AU45" s="623"/>
      <c r="AW45" s="629"/>
      <c r="AX45" s="631"/>
      <c r="AY45" s="632"/>
    </row>
    <row r="46" spans="1:51" s="633" customFormat="1" ht="49.8" customHeight="1" x14ac:dyDescent="0.3">
      <c r="A46" s="617"/>
      <c r="B46" s="618">
        <v>28</v>
      </c>
      <c r="C46" s="618">
        <v>162</v>
      </c>
      <c r="D46" s="630">
        <f>_xlfn.XLOOKUP(C46,Master[Emp Code],Master[date of last increment])</f>
        <v>43861</v>
      </c>
      <c r="E46" s="618">
        <f>_xlfn.XLOOKUP(C46,Master[Emp Code],Master[[last incremnet ]])</f>
        <v>5000</v>
      </c>
      <c r="F46" s="618">
        <f>_xlfn.XLOOKUP(C46,Master[Emp Code],Master['# Months Since Last Increment])</f>
        <v>3</v>
      </c>
      <c r="G46" s="619">
        <f>VLOOKUP($C46,Master!$F:$AU,G$4,FALSE)</f>
        <v>43236</v>
      </c>
      <c r="H46" s="618" t="str">
        <f>VLOOKUP($C46,Master!$F:$AU,H$4,FALSE)</f>
        <v>CT</v>
      </c>
      <c r="I46" s="620" t="str">
        <f>VLOOKUP($C46,Master!$F:$AU,I$4,FALSE)</f>
        <v>Faraz Hussain</v>
      </c>
      <c r="J46" s="621" t="str">
        <f>VLOOKUP($C46,Master!$F:$AU,J$4,FALSE)</f>
        <v>Procurement</v>
      </c>
      <c r="K46" s="621" t="str">
        <f>VLOOKUP($C46,Master!$F:$AU,K$4,FALSE)</f>
        <v>Manager Procurement</v>
      </c>
      <c r="L46" s="621" t="str">
        <f>VLOOKUP($C46,Master!$F:$AU,L$4,FALSE)</f>
        <v>Wasif Azhar</v>
      </c>
      <c r="M46" s="622" t="str">
        <f>VLOOKUP($C46,Master!$F:$AU,M$4,FALSE)</f>
        <v>HW</v>
      </c>
      <c r="N46" s="622" t="str">
        <f>VLOOKUP($C46,Master!$F:$AU,N$4,FALSE)</f>
        <v>GIT</v>
      </c>
      <c r="O46" s="618" t="str">
        <f>VLOOKUP($C46,Master!$F:$AU,O$4,FALSE)</f>
        <v>P</v>
      </c>
      <c r="P46" s="623">
        <f>VLOOKUP($C46,Master!$F:$AU,P$4,FALSE)</f>
        <v>110000</v>
      </c>
      <c r="Q46" s="623">
        <f>VLOOKUP($C46,Master!$F:$AU,Q$4,FALSE)</f>
        <v>68750</v>
      </c>
      <c r="R46" s="623">
        <f>VLOOKUP($C46,Master!$F:$AU,R$4,FALSE)</f>
        <v>27500</v>
      </c>
      <c r="S46" s="623">
        <f>VLOOKUP($C46,Master!$F:$AU,S$4,FALSE)</f>
        <v>6875</v>
      </c>
      <c r="T46" s="623">
        <f>VLOOKUP($C46,Master!$F:$AU,T$4,FALSE)</f>
        <v>6875</v>
      </c>
      <c r="U46" s="623">
        <f>VLOOKUP($C46,Master!$F:$AU,U$4,FALSE)</f>
        <v>110000</v>
      </c>
      <c r="V46" s="624">
        <f>VLOOKUP($C46,Master!$F:$AU,V$4,FALSE)</f>
        <v>0</v>
      </c>
      <c r="W46" s="623">
        <f>VLOOKUP($C46,Master!$F:$AU,W$4,FALSE)</f>
        <v>0</v>
      </c>
      <c r="X46" s="623">
        <f>VLOOKUP($C46,Master!$F:$AU,X$4,FALSE)</f>
        <v>0</v>
      </c>
      <c r="Y46" s="623">
        <f>VLOOKUP($C46,Master!$F:$AU,Y$4,FALSE)</f>
        <v>0</v>
      </c>
      <c r="Z46" s="623">
        <f>VLOOKUP($C46,Master!$F:$AU,Z$4,FALSE)</f>
        <v>0</v>
      </c>
      <c r="AA46" s="625">
        <f>VLOOKUP($C46,Master!$F:$AU,AA$4,FALSE)</f>
        <v>582.01058201058208</v>
      </c>
      <c r="AB46" s="625">
        <f>VLOOKUP($C46,Master!$F:$AU,AB$4,FALSE)</f>
        <v>0</v>
      </c>
      <c r="AC46" s="625">
        <f>VLOOKUP($C46,Master!$F:$AU,AC$4,FALSE)</f>
        <v>0</v>
      </c>
      <c r="AD46" s="623">
        <f>VLOOKUP($C46,Master!$F:$AU,AD$4,FALSE)</f>
        <v>110000</v>
      </c>
      <c r="AE46" s="623">
        <f>VLOOKUP($C46,Master!$F:$AU,AE$4,FALSE)</f>
        <v>1134.25</v>
      </c>
      <c r="AF46" s="623">
        <f>VLOOKUP($C46,Master!$F:$AU,AF$4,FALSE)</f>
        <v>0</v>
      </c>
      <c r="AG46" s="623">
        <f>VLOOKUP($C46,Master!$F:$AU,AG$4,FALSE)</f>
        <v>0</v>
      </c>
      <c r="AH46" s="623">
        <f>VLOOKUP($C46,Master!$F:$AU,AH$4,FALSE)</f>
        <v>0</v>
      </c>
      <c r="AI46" s="626">
        <f>VLOOKUP($C46,Master!$F:$AU,AI$4,FALSE)</f>
        <v>108865.75</v>
      </c>
      <c r="AJ46" s="623" t="str">
        <f>VLOOKUP($C46,Master!$F:$AU,AJ$4,FALSE)</f>
        <v>Habib Bank Limited</v>
      </c>
      <c r="AK46" s="627" t="str">
        <f>VLOOKUP($C46,Master!$F:$AU,AK$4,FALSE)</f>
        <v>0583-79011770-03</v>
      </c>
      <c r="AL46" s="628">
        <v>4210128184849</v>
      </c>
      <c r="AM46" s="620" t="str">
        <f>VLOOKUP($C46,Master!$F:$AU,AM$4,FALSE)</f>
        <v>Faraz Hussain</v>
      </c>
      <c r="AN46" s="623">
        <f>VLOOKUP($C46,Master!$F:$AU,AN$4,FALSE)</f>
        <v>108865.75</v>
      </c>
      <c r="AO46" s="623">
        <f>VLOOKUP($C46,Master!$F:$AU,AO$4,FALSE)</f>
        <v>0</v>
      </c>
      <c r="AP46" s="623">
        <f>VLOOKUP($C46,Master!$F:$AU,AP$4,FALSE)</f>
        <v>0</v>
      </c>
      <c r="AQ46" s="623">
        <f>VLOOKUP($C46,Master!$F:$AU,AQ$4,FALSE)</f>
        <v>0</v>
      </c>
      <c r="AR46" s="623">
        <f>VLOOKUP($C46,Master!$F:$AU,AR$4,FALSE)</f>
        <v>0</v>
      </c>
      <c r="AS46" s="673">
        <f>VLOOKUP($C46,Master!$F:$AU,AS$4,FALSE)</f>
        <v>108865.75</v>
      </c>
      <c r="AT46" s="623">
        <f>VLOOKUP($C46,Master!$F:$AU,AT$4,FALSE)</f>
        <v>0</v>
      </c>
      <c r="AU46" s="623">
        <f>VLOOKUP($C46,Master!$F:$AU,AU$4,FALSE)</f>
        <v>108865.75</v>
      </c>
      <c r="AV46" s="617"/>
      <c r="AW46" s="629"/>
      <c r="AX46" s="631">
        <f>+Master!$K$1</f>
        <v>276</v>
      </c>
      <c r="AY46" s="632">
        <f t="shared" ref="AY46:AY51" si="30">+AD46/AX46</f>
        <v>398.55072463768118</v>
      </c>
    </row>
    <row r="47" spans="1:51" s="617" customFormat="1" ht="49.8" customHeight="1" x14ac:dyDescent="0.3">
      <c r="B47" s="618">
        <f>+B46+1</f>
        <v>29</v>
      </c>
      <c r="C47" s="618">
        <v>47</v>
      </c>
      <c r="D47" s="630">
        <f>_xlfn.XLOOKUP(C47,Master[Emp Code],Master[date of last increment])</f>
        <v>43465</v>
      </c>
      <c r="E47" s="618">
        <f>_xlfn.XLOOKUP(C47,Master[Emp Code],Master[[last incremnet ]])</f>
        <v>50000</v>
      </c>
      <c r="F47" s="618">
        <f>_xlfn.XLOOKUP(C47,Master[Emp Code],Master['# Months Since Last Increment])</f>
        <v>16</v>
      </c>
      <c r="G47" s="619">
        <f>VLOOKUP($C47,Master!$F:$AU,G$4,FALSE)</f>
        <v>43039</v>
      </c>
      <c r="H47" s="618" t="str">
        <f>VLOOKUP($C47,Master!$F:$AU,H$4,FALSE)</f>
        <v>CT</v>
      </c>
      <c r="I47" s="620" t="str">
        <f>VLOOKUP($C47,Master!$F:$AU,I$4,FALSE)</f>
        <v>Wasif Azhar</v>
      </c>
      <c r="J47" s="621" t="str">
        <f>VLOOKUP($C47,Master!$F:$AU,J$4,FALSE)</f>
        <v>Sales</v>
      </c>
      <c r="K47" s="621" t="str">
        <f>VLOOKUP($C47,Master!$F:$AU,K$4,FALSE)</f>
        <v>International Sales Executive</v>
      </c>
      <c r="L47" s="621" t="str">
        <f>VLOOKUP($C47,Master!$F:$AU,L$4,FALSE)</f>
        <v>Umer Shahjahan</v>
      </c>
      <c r="M47" s="622" t="str">
        <f>VLOOKUP($C47,Master!$F:$AU,M$4,FALSE)</f>
        <v>HW</v>
      </c>
      <c r="N47" s="622" t="str">
        <f>VLOOKUP($C47,Master!$F:$AU,N$4,FALSE)</f>
        <v>GIT</v>
      </c>
      <c r="O47" s="618" t="str">
        <f>VLOOKUP($C47,Master!$F:$AU,O$4,FALSE)</f>
        <v>P</v>
      </c>
      <c r="P47" s="623">
        <f>VLOOKUP($C47,Master!$F:$AU,P$4,FALSE)</f>
        <v>200000</v>
      </c>
      <c r="Q47" s="623">
        <f>VLOOKUP($C47,Master!$F:$AU,Q$4,FALSE)</f>
        <v>125000</v>
      </c>
      <c r="R47" s="623">
        <f>VLOOKUP($C47,Master!$F:$AU,R$4,FALSE)</f>
        <v>50000</v>
      </c>
      <c r="S47" s="623">
        <f>VLOOKUP($C47,Master!$F:$AU,S$4,FALSE)</f>
        <v>12500</v>
      </c>
      <c r="T47" s="623">
        <f>VLOOKUP($C47,Master!$F:$AU,T$4,FALSE)</f>
        <v>12500</v>
      </c>
      <c r="U47" s="623">
        <f>VLOOKUP($C47,Master!$F:$AU,U$4,FALSE)</f>
        <v>200000</v>
      </c>
      <c r="V47" s="624">
        <f>VLOOKUP($C47,Master!$F:$AU,V$4,FALSE)</f>
        <v>0</v>
      </c>
      <c r="W47" s="623">
        <f>VLOOKUP($C47,Master!$F:$AU,W$4,FALSE)</f>
        <v>0</v>
      </c>
      <c r="X47" s="623">
        <f>VLOOKUP($C47,Master!$F:$AU,X$4,FALSE)</f>
        <v>0</v>
      </c>
      <c r="Y47" s="623">
        <f>VLOOKUP($C47,Master!$F:$AU,Y$4,FALSE)</f>
        <v>0</v>
      </c>
      <c r="Z47" s="623">
        <f>VLOOKUP($C47,Master!$F:$AU,Z$4,FALSE)</f>
        <v>0</v>
      </c>
      <c r="AA47" s="625">
        <f>VLOOKUP($C47,Master!$F:$AU,AA$4,FALSE)</f>
        <v>1058.201058201058</v>
      </c>
      <c r="AB47" s="625">
        <f>VLOOKUP($C47,Master!$F:$AU,AB$4,FALSE)</f>
        <v>0</v>
      </c>
      <c r="AC47" s="625">
        <f>VLOOKUP($C47,Master!$F:$AU,AC$4,FALSE)</f>
        <v>0</v>
      </c>
      <c r="AD47" s="623">
        <f>VLOOKUP($C47,Master!$F:$AU,AD$4,FALSE)</f>
        <v>200000</v>
      </c>
      <c r="AE47" s="623">
        <f>VLOOKUP($C47,Master!$F:$AU,AE$4,FALSE)</f>
        <v>9661.6</v>
      </c>
      <c r="AF47" s="623">
        <f>VLOOKUP($C47,Master!$F:$AU,AF$4,FALSE)</f>
        <v>250</v>
      </c>
      <c r="AG47" s="623">
        <f>VLOOKUP($C47,Master!$F:$AU,AG$4,FALSE)</f>
        <v>0</v>
      </c>
      <c r="AH47" s="623">
        <f>VLOOKUP($C47,Master!$F:$AU,AH$4,FALSE)</f>
        <v>0</v>
      </c>
      <c r="AI47" s="626">
        <f>VLOOKUP($C47,Master!$F:$AU,AI$4,FALSE)</f>
        <v>190088.4</v>
      </c>
      <c r="AJ47" s="623" t="str">
        <f>VLOOKUP($C47,Master!$F:$AU,AJ$4,FALSE)</f>
        <v>Habib Bank Limited</v>
      </c>
      <c r="AK47" s="627" t="str">
        <f>VLOOKUP($C47,Master!$F:$AU,AK$4,FALSE)</f>
        <v>0830-79009967-03</v>
      </c>
      <c r="AL47" s="628">
        <v>4210128184849</v>
      </c>
      <c r="AM47" s="620" t="str">
        <f>VLOOKUP($C47,Master!$F:$AU,AM$4,FALSE)</f>
        <v>Wasif Azhar</v>
      </c>
      <c r="AN47" s="623">
        <f>VLOOKUP($C47,Master!$F:$AU,AN$4,FALSE)</f>
        <v>190088.4</v>
      </c>
      <c r="AO47" s="623">
        <f>VLOOKUP($C47,Master!$F:$AU,AO$4,FALSE)</f>
        <v>0</v>
      </c>
      <c r="AP47" s="623">
        <f>VLOOKUP($C47,Master!$F:$AU,AP$4,FALSE)</f>
        <v>0</v>
      </c>
      <c r="AQ47" s="623">
        <f>VLOOKUP($C47,Master!$F:$AU,AQ$4,FALSE)</f>
        <v>0</v>
      </c>
      <c r="AR47" s="623">
        <f>VLOOKUP($C47,Master!$F:$AU,AR$4,FALSE)</f>
        <v>0</v>
      </c>
      <c r="AS47" s="673">
        <f>VLOOKUP($C47,Master!$F:$AU,AS$4,FALSE)</f>
        <v>190088.4</v>
      </c>
      <c r="AT47" s="623">
        <f>VLOOKUP($C47,Master!$F:$AU,AT$4,FALSE)</f>
        <v>0</v>
      </c>
      <c r="AU47" s="623">
        <f>VLOOKUP($C47,Master!$F:$AU,AU$4,FALSE)</f>
        <v>190088.4</v>
      </c>
      <c r="AW47" s="629"/>
      <c r="AX47" s="631">
        <f>+Master!$K$1</f>
        <v>276</v>
      </c>
      <c r="AY47" s="632">
        <f t="shared" si="30"/>
        <v>724.63768115942025</v>
      </c>
    </row>
    <row r="48" spans="1:51" s="617" customFormat="1" ht="49.8" customHeight="1" x14ac:dyDescent="0.3">
      <c r="B48" s="618">
        <f t="shared" ref="B48:B51" si="31">+B47+1</f>
        <v>30</v>
      </c>
      <c r="C48" s="618">
        <v>150</v>
      </c>
      <c r="D48" s="630">
        <f>_xlfn.XLOOKUP(C48,Master[Emp Code],Master[date of last increment])</f>
        <v>43830</v>
      </c>
      <c r="E48" s="618">
        <f>_xlfn.XLOOKUP(C48,Master[Emp Code],Master[[last incremnet ]])</f>
        <v>15000</v>
      </c>
      <c r="F48" s="618">
        <f>_xlfn.XLOOKUP(C48,Master[Emp Code],Master['# Months Since Last Increment])</f>
        <v>4</v>
      </c>
      <c r="G48" s="619">
        <f>VLOOKUP($C48,Master!$F:$AU,G$4,FALSE)</f>
        <v>43186</v>
      </c>
      <c r="H48" s="618" t="str">
        <f>VLOOKUP($C48,Master!$F:$AU,H$4,FALSE)</f>
        <v>CT</v>
      </c>
      <c r="I48" s="620" t="str">
        <f>VLOOKUP($C48,Master!$F:$AU,I$4,FALSE)</f>
        <v>Humayoun Khan</v>
      </c>
      <c r="J48" s="621" t="str">
        <f>VLOOKUP($C48,Master!$F:$AU,J$4,FALSE)</f>
        <v>Procurement</v>
      </c>
      <c r="K48" s="621" t="str">
        <f>VLOOKUP($C48,Master!$F:$AU,K$4,FALSE)</f>
        <v>Procurement Executive</v>
      </c>
      <c r="L48" s="621" t="str">
        <f>VLOOKUP($C48,Master!$F:$AU,L$4,FALSE)</f>
        <v>Nadeem Akhtar</v>
      </c>
      <c r="M48" s="622" t="str">
        <f>VLOOKUP($C48,Master!$F:$AU,M$4,FALSE)</f>
        <v>HW</v>
      </c>
      <c r="N48" s="622" t="str">
        <f>VLOOKUP($C48,Master!$F:$AU,N$4,FALSE)</f>
        <v>GIT</v>
      </c>
      <c r="O48" s="618" t="str">
        <f>VLOOKUP($C48,Master!$F:$AU,O$4,FALSE)</f>
        <v>P</v>
      </c>
      <c r="P48" s="623">
        <f>VLOOKUP($C48,Master!$F:$AU,P$4,FALSE)</f>
        <v>50000</v>
      </c>
      <c r="Q48" s="623">
        <f>VLOOKUP($C48,Master!$F:$AU,Q$4,FALSE)</f>
        <v>31250</v>
      </c>
      <c r="R48" s="623">
        <f>VLOOKUP($C48,Master!$F:$AU,R$4,FALSE)</f>
        <v>12500</v>
      </c>
      <c r="S48" s="623">
        <f>VLOOKUP($C48,Master!$F:$AU,S$4,FALSE)</f>
        <v>3125</v>
      </c>
      <c r="T48" s="623">
        <f>VLOOKUP($C48,Master!$F:$AU,T$4,FALSE)</f>
        <v>3125</v>
      </c>
      <c r="U48" s="623">
        <f>VLOOKUP($C48,Master!$F:$AU,U$4,FALSE)</f>
        <v>50000</v>
      </c>
      <c r="V48" s="624">
        <f>VLOOKUP($C48,Master!$F:$AU,V$4,FALSE)</f>
        <v>0</v>
      </c>
      <c r="W48" s="623">
        <f>VLOOKUP($C48,Master!$F:$AU,W$4,FALSE)</f>
        <v>0</v>
      </c>
      <c r="X48" s="623">
        <f>VLOOKUP($C48,Master!$F:$AU,X$4,FALSE)</f>
        <v>0</v>
      </c>
      <c r="Y48" s="623">
        <f>VLOOKUP($C48,Master!$F:$AU,Y$4,FALSE)</f>
        <v>0</v>
      </c>
      <c r="Z48" s="623">
        <f>VLOOKUP($C48,Master!$F:$AU,Z$4,FALSE)</f>
        <v>0</v>
      </c>
      <c r="AA48" s="625">
        <f>VLOOKUP($C48,Master!$F:$AU,AA$4,FALSE)</f>
        <v>277.77777777777777</v>
      </c>
      <c r="AB48" s="625">
        <f>VLOOKUP($C48,Master!$F:$AU,AB$4,FALSE)</f>
        <v>0</v>
      </c>
      <c r="AC48" s="625">
        <f>VLOOKUP($C48,Master!$F:$AU,AC$4,FALSE)</f>
        <v>0</v>
      </c>
      <c r="AD48" s="623">
        <f>VLOOKUP($C48,Master!$F:$AU,AD$4,FALSE)</f>
        <v>50000</v>
      </c>
      <c r="AE48" s="623">
        <f>VLOOKUP($C48,Master!$F:$AU,AE$4,FALSE)</f>
        <v>0</v>
      </c>
      <c r="AF48" s="623">
        <f>VLOOKUP($C48,Master!$F:$AU,AF$4,FALSE)</f>
        <v>0</v>
      </c>
      <c r="AG48" s="623">
        <f>VLOOKUP($C48,Master!$F:$AU,AG$4,FALSE)</f>
        <v>0</v>
      </c>
      <c r="AH48" s="623">
        <f>VLOOKUP($C48,Master!$F:$AU,AH$4,FALSE)</f>
        <v>0</v>
      </c>
      <c r="AI48" s="626">
        <f>VLOOKUP($C48,Master!$F:$AU,AI$4,FALSE)</f>
        <v>50000</v>
      </c>
      <c r="AJ48" s="623" t="str">
        <f>VLOOKUP($C48,Master!$F:$AU,AJ$4,FALSE)</f>
        <v>Habib Bank Limited</v>
      </c>
      <c r="AK48" s="627" t="str">
        <f>VLOOKUP($C48,Master!$F:$AU,AK$4,FALSE)</f>
        <v>0017-79008735-03</v>
      </c>
      <c r="AL48" s="628">
        <v>4210128184849</v>
      </c>
      <c r="AM48" s="620" t="str">
        <f>VLOOKUP($C48,Master!$F:$AU,AM$4,FALSE)</f>
        <v>HUMAYOUN KHAN</v>
      </c>
      <c r="AN48" s="623">
        <f>VLOOKUP($C48,Master!$F:$AU,AN$4,FALSE)</f>
        <v>50000</v>
      </c>
      <c r="AO48" s="623">
        <f>VLOOKUP($C48,Master!$F:$AU,AO$4,FALSE)</f>
        <v>0</v>
      </c>
      <c r="AP48" s="623">
        <f>VLOOKUP($C48,Master!$F:$AU,AP$4,FALSE)</f>
        <v>0</v>
      </c>
      <c r="AQ48" s="623">
        <f>VLOOKUP($C48,Master!$F:$AU,AQ$4,FALSE)</f>
        <v>0</v>
      </c>
      <c r="AR48" s="623">
        <f>VLOOKUP($C48,Master!$F:$AU,AR$4,FALSE)</f>
        <v>0</v>
      </c>
      <c r="AS48" s="673">
        <f>VLOOKUP($C48,Master!$F:$AU,AS$4,FALSE)</f>
        <v>50000</v>
      </c>
      <c r="AT48" s="623">
        <f>VLOOKUP($C48,Master!$F:$AU,AT$4,FALSE)</f>
        <v>0</v>
      </c>
      <c r="AU48" s="623">
        <f>VLOOKUP($C48,Master!$F:$AU,AU$4,FALSE)</f>
        <v>50000</v>
      </c>
      <c r="AW48" s="629"/>
      <c r="AX48" s="631">
        <f>+Master!$K$1</f>
        <v>276</v>
      </c>
      <c r="AY48" s="632">
        <f>+AD48/AX48</f>
        <v>181.15942028985506</v>
      </c>
    </row>
    <row r="49" spans="1:51" s="633" customFormat="1" ht="49.8" customHeight="1" x14ac:dyDescent="0.3">
      <c r="A49" s="617"/>
      <c r="B49" s="618">
        <f t="shared" si="31"/>
        <v>31</v>
      </c>
      <c r="C49" s="618">
        <v>187</v>
      </c>
      <c r="D49" s="630">
        <f>_xlfn.XLOOKUP(C49,Master[Emp Code],Master[date of last increment])</f>
        <v>43830</v>
      </c>
      <c r="E49" s="618">
        <f>_xlfn.XLOOKUP(C49,Master[Emp Code],Master[[last incremnet ]])</f>
        <v>9000</v>
      </c>
      <c r="F49" s="618">
        <f>_xlfn.XLOOKUP(C49,Master[Emp Code],Master['# Months Since Last Increment])</f>
        <v>4</v>
      </c>
      <c r="G49" s="619">
        <f>VLOOKUP($C49,Master!$F:$AU,G$4,FALSE)</f>
        <v>43692</v>
      </c>
      <c r="H49" s="618" t="str">
        <f>VLOOKUP($C49,Master!$F:$AU,H$4,FALSE)</f>
        <v>CT</v>
      </c>
      <c r="I49" s="620" t="str">
        <f>VLOOKUP($C49,Master!$F:$AU,I$4,FALSE)</f>
        <v>Nahyan Hussain</v>
      </c>
      <c r="J49" s="621" t="str">
        <f>VLOOKUP($C49,Master!$F:$AU,J$4,FALSE)</f>
        <v>Sales</v>
      </c>
      <c r="K49" s="621" t="str">
        <f>VLOOKUP($C49,Master!$F:$AU,K$4,FALSE)</f>
        <v>International Sales Executive</v>
      </c>
      <c r="L49" s="621" t="str">
        <f>VLOOKUP($C49,Master!$F:$AU,L$4,FALSE)</f>
        <v>Wasif Azhar</v>
      </c>
      <c r="M49" s="622" t="str">
        <f>VLOOKUP($C49,Master!$F:$AU,M$4,FALSE)</f>
        <v>HW</v>
      </c>
      <c r="N49" s="622" t="str">
        <f>VLOOKUP($C49,Master!$F:$AU,N$4,FALSE)</f>
        <v>GIT</v>
      </c>
      <c r="O49" s="618" t="str">
        <f>VLOOKUP($C49,Master!$F:$AU,O$4,FALSE)</f>
        <v>NP</v>
      </c>
      <c r="P49" s="623">
        <f>VLOOKUP($C49,Master!$F:$AU,P$4,FALSE)</f>
        <v>45000</v>
      </c>
      <c r="Q49" s="623">
        <f>VLOOKUP($C49,Master!$F:$AU,Q$4,FALSE)</f>
        <v>28125</v>
      </c>
      <c r="R49" s="623">
        <f>VLOOKUP($C49,Master!$F:$AU,R$4,FALSE)</f>
        <v>11250</v>
      </c>
      <c r="S49" s="623">
        <f>VLOOKUP($C49,Master!$F:$AU,S$4,FALSE)</f>
        <v>2812.5</v>
      </c>
      <c r="T49" s="623">
        <f>VLOOKUP($C49,Master!$F:$AU,T$4,FALSE)</f>
        <v>2812.5</v>
      </c>
      <c r="U49" s="623">
        <f>VLOOKUP($C49,Master!$F:$AU,U$4,FALSE)</f>
        <v>45000</v>
      </c>
      <c r="V49" s="624">
        <f>VLOOKUP($C49,Master!$F:$AU,V$4,FALSE)</f>
        <v>0</v>
      </c>
      <c r="W49" s="623">
        <f>VLOOKUP($C49,Master!$F:$AU,W$4,FALSE)</f>
        <v>0</v>
      </c>
      <c r="X49" s="623">
        <f>VLOOKUP($C49,Master!$F:$AU,X$4,FALSE)</f>
        <v>0</v>
      </c>
      <c r="Y49" s="623">
        <f>VLOOKUP($C49,Master!$F:$AU,Y$4,FALSE)</f>
        <v>1</v>
      </c>
      <c r="Z49" s="623">
        <f>VLOOKUP($C49,Master!$F:$AU,Z$4,FALSE)</f>
        <v>2142.8571428571427</v>
      </c>
      <c r="AA49" s="625">
        <f>VLOOKUP($C49,Master!$F:$AU,AA$4,FALSE)</f>
        <v>238.09523809523807</v>
      </c>
      <c r="AB49" s="625">
        <f>VLOOKUP($C49,Master!$F:$AU,AB$4,FALSE)</f>
        <v>0</v>
      </c>
      <c r="AC49" s="625">
        <f>VLOOKUP($C49,Master!$F:$AU,AC$4,FALSE)</f>
        <v>0</v>
      </c>
      <c r="AD49" s="623">
        <f>VLOOKUP($C49,Master!$F:$AU,AD$4,FALSE)</f>
        <v>42857.142857142855</v>
      </c>
      <c r="AE49" s="623">
        <f>VLOOKUP($C49,Master!$F:$AU,AE$4,FALSE)</f>
        <v>0</v>
      </c>
      <c r="AF49" s="623">
        <f>VLOOKUP($C49,Master!$F:$AU,AF$4,FALSE)</f>
        <v>0</v>
      </c>
      <c r="AG49" s="623">
        <f>VLOOKUP($C49,Master!$F:$AU,AG$4,FALSE)</f>
        <v>0</v>
      </c>
      <c r="AH49" s="623">
        <f>VLOOKUP($C49,Master!$F:$AU,AH$4,FALSE)</f>
        <v>0</v>
      </c>
      <c r="AI49" s="626">
        <f>VLOOKUP($C49,Master!$F:$AU,AI$4,FALSE)</f>
        <v>42857.142857142855</v>
      </c>
      <c r="AJ49" s="623" t="str">
        <f>VLOOKUP($C49,Master!$F:$AU,AJ$4,FALSE)</f>
        <v>Meezan Bank Limited</v>
      </c>
      <c r="AK49" s="627" t="str">
        <f>VLOOKUP($C49,Master!$F:$AU,AK$4,FALSE)</f>
        <v>99530105424627</v>
      </c>
      <c r="AL49" s="628">
        <v>4210128184849</v>
      </c>
      <c r="AM49" s="620" t="str">
        <f>VLOOKUP($C49,Master!$F:$AU,AM$4,FALSE)</f>
        <v>Asad Hussain</v>
      </c>
      <c r="AN49" s="623">
        <f>VLOOKUP($C49,Master!$F:$AU,AN$4,FALSE)</f>
        <v>0</v>
      </c>
      <c r="AO49" s="623">
        <f>VLOOKUP($C49,Master!$F:$AU,AO$4,FALSE)</f>
        <v>0</v>
      </c>
      <c r="AP49" s="623">
        <f>VLOOKUP($C49,Master!$F:$AU,AP$4,FALSE)</f>
        <v>0</v>
      </c>
      <c r="AQ49" s="623">
        <f>VLOOKUP($C49,Master!$F:$AU,AQ$4,FALSE)</f>
        <v>42857.142857142855</v>
      </c>
      <c r="AR49" s="623">
        <f>VLOOKUP($C49,Master!$F:$AU,AR$4,FALSE)</f>
        <v>0</v>
      </c>
      <c r="AS49" s="673">
        <f>VLOOKUP($C49,Master!$F:$AU,AS$4,FALSE)</f>
        <v>42857.142857142855</v>
      </c>
      <c r="AT49" s="623">
        <f>VLOOKUP($C49,Master!$F:$AU,AT$4,FALSE)</f>
        <v>0</v>
      </c>
      <c r="AU49" s="623">
        <f>VLOOKUP($C49,Master!$F:$AU,AU$4,FALSE)</f>
        <v>42857.142857142855</v>
      </c>
      <c r="AV49" s="617"/>
      <c r="AW49" s="629"/>
      <c r="AX49" s="631">
        <f>+Master!$K$1</f>
        <v>276</v>
      </c>
      <c r="AY49" s="632">
        <f t="shared" si="30"/>
        <v>155.27950310559007</v>
      </c>
    </row>
    <row r="50" spans="1:51" s="633" customFormat="1" ht="49.8" customHeight="1" x14ac:dyDescent="0.3">
      <c r="A50" s="617"/>
      <c r="B50" s="618">
        <f t="shared" si="31"/>
        <v>32</v>
      </c>
      <c r="C50" s="618">
        <v>226</v>
      </c>
      <c r="D50" s="630">
        <f>_xlfn.XLOOKUP(C50,Master[Emp Code],Master[date of last increment])</f>
        <v>0</v>
      </c>
      <c r="E50" s="618">
        <f>_xlfn.XLOOKUP(C50,Master[Emp Code],Master[[last incremnet ]])</f>
        <v>0</v>
      </c>
      <c r="F50" s="618">
        <f>_xlfn.XLOOKUP(C50,Master[Emp Code],Master['# Months Since Last Increment])</f>
        <v>0</v>
      </c>
      <c r="G50" s="619">
        <f>VLOOKUP($C50,Master!$F:$AU,G$4,FALSE)</f>
        <v>43862</v>
      </c>
      <c r="H50" s="618">
        <f>VLOOKUP($C50,Master!$F:$AU,H$4,FALSE)</f>
        <v>0</v>
      </c>
      <c r="I50" s="620" t="str">
        <f>VLOOKUP($C50,Master!$F:$AU,I$4,FALSE)</f>
        <v>Syed Shabi ul Hasan Zaidi</v>
      </c>
      <c r="J50" s="621" t="str">
        <f>VLOOKUP($C50,Master!$F:$AU,J$4,FALSE)</f>
        <v>Sales</v>
      </c>
      <c r="K50" s="621" t="str">
        <f>VLOOKUP($C50,Master!$F:$AU,K$4,FALSE)</f>
        <v>International Sales Executive</v>
      </c>
      <c r="L50" s="621" t="str">
        <f>VLOOKUP($C50,Master!$F:$AU,L$4,FALSE)</f>
        <v>Wasif Azhar</v>
      </c>
      <c r="M50" s="622" t="str">
        <f>VLOOKUP($C50,Master!$F:$AU,M$4,FALSE)</f>
        <v>HW</v>
      </c>
      <c r="N50" s="622" t="str">
        <f>VLOOKUP($C50,Master!$F:$AU,N$4,FALSE)</f>
        <v>GIT</v>
      </c>
      <c r="O50" s="618" t="str">
        <f>VLOOKUP($C50,Master!$F:$AU,O$4,FALSE)</f>
        <v>NP</v>
      </c>
      <c r="P50" s="623">
        <f>VLOOKUP($C50,Master!$F:$AU,P$4,FALSE)</f>
        <v>40000</v>
      </c>
      <c r="Q50" s="623">
        <f>VLOOKUP($C50,Master!$F:$AU,Q$4,FALSE)</f>
        <v>25000</v>
      </c>
      <c r="R50" s="623">
        <f>VLOOKUP($C50,Master!$F:$AU,R$4,FALSE)</f>
        <v>10000</v>
      </c>
      <c r="S50" s="623">
        <f>VLOOKUP($C50,Master!$F:$AU,S$4,FALSE)</f>
        <v>2500</v>
      </c>
      <c r="T50" s="623">
        <f>VLOOKUP($C50,Master!$F:$AU,T$4,FALSE)</f>
        <v>2500</v>
      </c>
      <c r="U50" s="623">
        <f>VLOOKUP($C50,Master!$F:$AU,U$4,FALSE)</f>
        <v>40000</v>
      </c>
      <c r="V50" s="624">
        <f>VLOOKUP($C50,Master!$F:$AU,V$4,FALSE)</f>
        <v>0</v>
      </c>
      <c r="W50" s="623">
        <f>VLOOKUP($C50,Master!$F:$AU,W$4,FALSE)</f>
        <v>0</v>
      </c>
      <c r="X50" s="623">
        <f>VLOOKUP($C50,Master!$F:$AU,X$4,FALSE)</f>
        <v>0</v>
      </c>
      <c r="Y50" s="623">
        <f>VLOOKUP($C50,Master!$F:$AU,Y$4,FALSE)</f>
        <v>1</v>
      </c>
      <c r="Z50" s="623">
        <f>VLOOKUP($C50,Master!$F:$AU,Z$4,FALSE)</f>
        <v>1904.7619047619048</v>
      </c>
      <c r="AA50" s="625">
        <f>VLOOKUP($C50,Master!$F:$AU,AA$4,FALSE)</f>
        <v>211.64021164021165</v>
      </c>
      <c r="AB50" s="625">
        <f>VLOOKUP($C50,Master!$F:$AU,AB$4,FALSE)</f>
        <v>0</v>
      </c>
      <c r="AC50" s="625">
        <f>VLOOKUP($C50,Master!$F:$AU,AC$4,FALSE)</f>
        <v>0</v>
      </c>
      <c r="AD50" s="623">
        <f>VLOOKUP($C50,Master!$F:$AU,AD$4,FALSE)</f>
        <v>38095.238095238092</v>
      </c>
      <c r="AE50" s="623">
        <f>VLOOKUP($C50,Master!$F:$AU,AE$4,FALSE)</f>
        <v>0</v>
      </c>
      <c r="AF50" s="623">
        <f>VLOOKUP($C50,Master!$F:$AU,AF$4,FALSE)</f>
        <v>0</v>
      </c>
      <c r="AG50" s="623">
        <f>VLOOKUP($C50,Master!$F:$AU,AG$4,FALSE)</f>
        <v>0</v>
      </c>
      <c r="AH50" s="623">
        <f>VLOOKUP($C50,Master!$F:$AU,AH$4,FALSE)</f>
        <v>0</v>
      </c>
      <c r="AI50" s="626">
        <f>VLOOKUP($C50,Master!$F:$AU,AI$4,FALSE)</f>
        <v>38095.238095238092</v>
      </c>
      <c r="AJ50" s="623" t="str">
        <f>VLOOKUP($C50,Master!$F:$AU,AJ$4,FALSE)</f>
        <v>Bank Al Habib</v>
      </c>
      <c r="AK50" s="627" t="str">
        <f>VLOOKUP($C50,Master!$F:$AU,AK$4,FALSE)</f>
        <v>10680048013966014</v>
      </c>
      <c r="AL50" s="628">
        <v>4210128184849</v>
      </c>
      <c r="AM50" s="620" t="str">
        <f>VLOOKUP($C50,Master!$F:$AU,AM$4,FALSE)</f>
        <v>Syed Shabi Ul Hasan Zaidi</v>
      </c>
      <c r="AN50" s="623">
        <f>VLOOKUP($C50,Master!$F:$AU,AN$4,FALSE)</f>
        <v>0</v>
      </c>
      <c r="AO50" s="623">
        <f>VLOOKUP($C50,Master!$F:$AU,AO$4,FALSE)</f>
        <v>0</v>
      </c>
      <c r="AP50" s="623">
        <f>VLOOKUP($C50,Master!$F:$AU,AP$4,FALSE)</f>
        <v>0</v>
      </c>
      <c r="AQ50" s="623">
        <f>VLOOKUP($C50,Master!$F:$AU,AQ$4,FALSE)</f>
        <v>38095.238095238092</v>
      </c>
      <c r="AR50" s="623">
        <f>VLOOKUP($C50,Master!$F:$AU,AR$4,FALSE)</f>
        <v>0</v>
      </c>
      <c r="AS50" s="673">
        <f>VLOOKUP($C50,Master!$F:$AU,AS$4,FALSE)</f>
        <v>38095.238095238092</v>
      </c>
      <c r="AT50" s="623">
        <f>VLOOKUP($C50,Master!$F:$AU,AT$4,FALSE)</f>
        <v>0</v>
      </c>
      <c r="AU50" s="623">
        <f>VLOOKUP($C50,Master!$F:$AU,AU$4,FALSE)</f>
        <v>38095.238095238092</v>
      </c>
      <c r="AV50" s="617"/>
      <c r="AW50" s="629"/>
      <c r="AX50" s="631">
        <f>+Master!$K$1</f>
        <v>276</v>
      </c>
      <c r="AY50" s="632">
        <f>+AD50/AX50</f>
        <v>138.0262249827467</v>
      </c>
    </row>
    <row r="51" spans="1:51" s="617" customFormat="1" ht="49.8" customHeight="1" x14ac:dyDescent="0.3">
      <c r="B51" s="618">
        <f t="shared" si="31"/>
        <v>33</v>
      </c>
      <c r="C51" s="618">
        <v>155</v>
      </c>
      <c r="D51" s="630">
        <f>_xlfn.XLOOKUP(C51,Master[Emp Code],Master[date of last increment])</f>
        <v>43708</v>
      </c>
      <c r="E51" s="618">
        <f>_xlfn.XLOOKUP(C51,Master[Emp Code],Master[[last incremnet ]])</f>
        <v>10000</v>
      </c>
      <c r="F51" s="618">
        <f>_xlfn.XLOOKUP(C51,Master[Emp Code],Master['# Months Since Last Increment])</f>
        <v>8</v>
      </c>
      <c r="G51" s="619">
        <f>VLOOKUP($C51,Master!$F:$AU,G$4,FALSE)</f>
        <v>43207</v>
      </c>
      <c r="H51" s="618" t="str">
        <f>VLOOKUP($C51,Master!$F:$AU,H$4,FALSE)</f>
        <v>CT</v>
      </c>
      <c r="I51" s="620" t="str">
        <f>VLOOKUP($C51,Master!$F:$AU,I$4,FALSE)</f>
        <v>Syed Sumair Hussain</v>
      </c>
      <c r="J51" s="621" t="str">
        <f>VLOOKUP($C51,Master!$F:$AU,J$4,FALSE)</f>
        <v>Sales</v>
      </c>
      <c r="K51" s="621" t="str">
        <f>VLOOKUP($C51,Master!$F:$AU,K$4,FALSE)</f>
        <v>International Sales Executive</v>
      </c>
      <c r="L51" s="621" t="str">
        <f>VLOOKUP($C51,Master!$F:$AU,L$4,FALSE)</f>
        <v>Wasif Azhar</v>
      </c>
      <c r="M51" s="622" t="str">
        <f>VLOOKUP($C51,Master!$F:$AU,M$4,FALSE)</f>
        <v>HW</v>
      </c>
      <c r="N51" s="622" t="str">
        <f>VLOOKUP($C51,Master!$F:$AU,N$4,FALSE)</f>
        <v>GIT</v>
      </c>
      <c r="O51" s="618" t="str">
        <f>VLOOKUP($C51,Master!$F:$AU,O$4,FALSE)</f>
        <v>P</v>
      </c>
      <c r="P51" s="623">
        <f>VLOOKUP($C51,Master!$F:$AU,P$4,FALSE)</f>
        <v>50000</v>
      </c>
      <c r="Q51" s="623">
        <f>VLOOKUP($C51,Master!$F:$AU,Q$4,FALSE)</f>
        <v>31250</v>
      </c>
      <c r="R51" s="623">
        <f>VLOOKUP($C51,Master!$F:$AU,R$4,FALSE)</f>
        <v>12500</v>
      </c>
      <c r="S51" s="623">
        <f>VLOOKUP($C51,Master!$F:$AU,S$4,FALSE)</f>
        <v>3125</v>
      </c>
      <c r="T51" s="623">
        <f>VLOOKUP($C51,Master!$F:$AU,T$4,FALSE)</f>
        <v>3125</v>
      </c>
      <c r="U51" s="623">
        <f>VLOOKUP($C51,Master!$F:$AU,U$4,FALSE)</f>
        <v>50000</v>
      </c>
      <c r="V51" s="624">
        <f>VLOOKUP($C51,Master!$F:$AU,V$4,FALSE)</f>
        <v>0</v>
      </c>
      <c r="W51" s="623">
        <f>VLOOKUP($C51,Master!$F:$AU,W$4,FALSE)</f>
        <v>0</v>
      </c>
      <c r="X51" s="623">
        <f>VLOOKUP($C51,Master!$F:$AU,X$4,FALSE)</f>
        <v>0</v>
      </c>
      <c r="Y51" s="623">
        <f>VLOOKUP($C51,Master!$F:$AU,Y$4,FALSE)</f>
        <v>0</v>
      </c>
      <c r="Z51" s="623">
        <f>VLOOKUP($C51,Master!$F:$AU,Z$4,FALSE)</f>
        <v>0</v>
      </c>
      <c r="AA51" s="625">
        <f>VLOOKUP($C51,Master!$F:$AU,AA$4,FALSE)</f>
        <v>264.5502645502645</v>
      </c>
      <c r="AB51" s="625">
        <f>VLOOKUP($C51,Master!$F:$AU,AB$4,FALSE)</f>
        <v>0</v>
      </c>
      <c r="AC51" s="625">
        <f>VLOOKUP($C51,Master!$F:$AU,AC$4,FALSE)</f>
        <v>0</v>
      </c>
      <c r="AD51" s="623">
        <f>VLOOKUP($C51,Master!$F:$AU,AD$4,FALSE)</f>
        <v>50000</v>
      </c>
      <c r="AE51" s="623">
        <f>VLOOKUP($C51,Master!$F:$AU,AE$4,FALSE)</f>
        <v>0</v>
      </c>
      <c r="AF51" s="623">
        <f>VLOOKUP($C51,Master!$F:$AU,AF$4,FALSE)</f>
        <v>0</v>
      </c>
      <c r="AG51" s="623">
        <f>VLOOKUP($C51,Master!$F:$AU,AG$4,FALSE)</f>
        <v>0</v>
      </c>
      <c r="AH51" s="623">
        <f>VLOOKUP($C51,Master!$F:$AU,AH$4,FALSE)</f>
        <v>0</v>
      </c>
      <c r="AI51" s="626">
        <f>VLOOKUP($C51,Master!$F:$AU,AI$4,FALSE)</f>
        <v>50000</v>
      </c>
      <c r="AJ51" s="623" t="str">
        <f>VLOOKUP($C51,Master!$F:$AU,AJ$4,FALSE)</f>
        <v>Habib Bank Limited</v>
      </c>
      <c r="AK51" s="627" t="str">
        <f>VLOOKUP($C51,Master!$F:$AU,AK$4,FALSE)</f>
        <v>0017-79008896-03</v>
      </c>
      <c r="AL51" s="628">
        <v>4210128184849</v>
      </c>
      <c r="AM51" s="620" t="str">
        <f>VLOOKUP($C51,Master!$F:$AU,AM$4,FALSE)</f>
        <v>Syed Sumair</v>
      </c>
      <c r="AN51" s="623">
        <f>VLOOKUP($C51,Master!$F:$AU,AN$4,FALSE)</f>
        <v>50000</v>
      </c>
      <c r="AO51" s="623">
        <f>VLOOKUP($C51,Master!$F:$AU,AO$4,FALSE)</f>
        <v>0</v>
      </c>
      <c r="AP51" s="623">
        <f>VLOOKUP($C51,Master!$F:$AU,AP$4,FALSE)</f>
        <v>0</v>
      </c>
      <c r="AQ51" s="623">
        <f>VLOOKUP($C51,Master!$F:$AU,AQ$4,FALSE)</f>
        <v>0</v>
      </c>
      <c r="AR51" s="623">
        <f>VLOOKUP($C51,Master!$F:$AU,AR$4,FALSE)</f>
        <v>0</v>
      </c>
      <c r="AS51" s="673">
        <f>VLOOKUP($C51,Master!$F:$AU,AS$4,FALSE)</f>
        <v>50000</v>
      </c>
      <c r="AT51" s="623">
        <f>VLOOKUP($C51,Master!$F:$AU,AT$4,FALSE)</f>
        <v>0</v>
      </c>
      <c r="AU51" s="623">
        <f>VLOOKUP($C51,Master!$F:$AU,AU$4,FALSE)</f>
        <v>50000</v>
      </c>
      <c r="AW51" s="629"/>
      <c r="AX51" s="631">
        <f>+Master!$K$1</f>
        <v>276</v>
      </c>
      <c r="AY51" s="632">
        <f t="shared" si="30"/>
        <v>181.15942028985506</v>
      </c>
    </row>
    <row r="52" spans="1:51" s="617" customFormat="1" ht="49.8" customHeight="1" x14ac:dyDescent="0.3">
      <c r="B52" s="636"/>
      <c r="C52" s="636"/>
      <c r="D52" s="636"/>
      <c r="E52" s="636"/>
      <c r="F52" s="636"/>
      <c r="G52" s="637"/>
      <c r="H52" s="636"/>
      <c r="I52" s="638"/>
      <c r="J52" s="639"/>
      <c r="K52" s="639"/>
      <c r="L52" s="639"/>
      <c r="M52" s="640"/>
      <c r="N52" s="640"/>
      <c r="O52" s="636"/>
      <c r="P52" s="641">
        <f t="shared" ref="P52:V52" si="32">SUBTOTAL(9,P46:P51)</f>
        <v>495000</v>
      </c>
      <c r="Q52" s="641">
        <f t="shared" si="32"/>
        <v>309375</v>
      </c>
      <c r="R52" s="641">
        <f t="shared" si="32"/>
        <v>123750</v>
      </c>
      <c r="S52" s="641">
        <f t="shared" si="32"/>
        <v>30937.5</v>
      </c>
      <c r="T52" s="641">
        <f t="shared" si="32"/>
        <v>30937.5</v>
      </c>
      <c r="U52" s="641">
        <f t="shared" si="32"/>
        <v>495000</v>
      </c>
      <c r="V52" s="641">
        <f t="shared" si="32"/>
        <v>0</v>
      </c>
      <c r="W52" s="635"/>
      <c r="X52" s="641">
        <f>SUBTOTAL(9,X46:X51)</f>
        <v>0</v>
      </c>
      <c r="Y52" s="635"/>
      <c r="Z52" s="641">
        <f>SUBTOTAL(9,Z46:Z51)</f>
        <v>4047.6190476190477</v>
      </c>
      <c r="AA52" s="642"/>
      <c r="AB52" s="642"/>
      <c r="AC52" s="641">
        <f t="shared" ref="AC52:AU52" si="33">SUBTOTAL(9,AC46:AC51)</f>
        <v>0</v>
      </c>
      <c r="AD52" s="641">
        <f t="shared" si="33"/>
        <v>490952.38095238095</v>
      </c>
      <c r="AE52" s="641">
        <f t="shared" si="33"/>
        <v>10795.85</v>
      </c>
      <c r="AF52" s="641">
        <f t="shared" si="33"/>
        <v>250</v>
      </c>
      <c r="AG52" s="641">
        <f t="shared" si="33"/>
        <v>0</v>
      </c>
      <c r="AH52" s="641">
        <f t="shared" si="33"/>
        <v>0</v>
      </c>
      <c r="AI52" s="643">
        <f t="shared" si="33"/>
        <v>479906.53095238097</v>
      </c>
      <c r="AJ52" s="641">
        <f t="shared" si="33"/>
        <v>0</v>
      </c>
      <c r="AK52" s="641">
        <f t="shared" si="33"/>
        <v>0</v>
      </c>
      <c r="AL52" s="641">
        <f t="shared" si="33"/>
        <v>25260769109094</v>
      </c>
      <c r="AM52" s="641">
        <f t="shared" si="33"/>
        <v>0</v>
      </c>
      <c r="AN52" s="641">
        <f t="shared" si="33"/>
        <v>398954.15</v>
      </c>
      <c r="AO52" s="641">
        <f t="shared" si="33"/>
        <v>0</v>
      </c>
      <c r="AP52" s="641">
        <f t="shared" si="33"/>
        <v>0</v>
      </c>
      <c r="AQ52" s="641">
        <f t="shared" si="33"/>
        <v>80952.380952380947</v>
      </c>
      <c r="AR52" s="641">
        <f t="shared" si="33"/>
        <v>0</v>
      </c>
      <c r="AS52" s="643">
        <f t="shared" si="33"/>
        <v>479906.53095238097</v>
      </c>
      <c r="AT52" s="641">
        <f t="shared" si="33"/>
        <v>0</v>
      </c>
      <c r="AU52" s="641">
        <f t="shared" si="33"/>
        <v>479906.53095238097</v>
      </c>
      <c r="AW52" s="629"/>
      <c r="AY52" s="641">
        <f>SUBTOTAL(9,AY46:AY51)</f>
        <v>1778.8129744651483</v>
      </c>
    </row>
    <row r="53" spans="1:51" s="617" customFormat="1" ht="49.8" customHeight="1" x14ac:dyDescent="0.3">
      <c r="B53" s="618"/>
      <c r="C53" s="618"/>
      <c r="D53" s="618"/>
      <c r="E53" s="618"/>
      <c r="F53" s="618"/>
      <c r="G53" s="618"/>
      <c r="H53" s="618"/>
      <c r="I53" s="620"/>
      <c r="J53" s="621"/>
      <c r="K53" s="621"/>
      <c r="L53" s="621"/>
      <c r="M53" s="622"/>
      <c r="N53" s="622"/>
      <c r="O53" s="618"/>
      <c r="P53" s="623"/>
      <c r="Q53" s="623"/>
      <c r="R53" s="623"/>
      <c r="S53" s="623"/>
      <c r="T53" s="623"/>
      <c r="U53" s="623"/>
      <c r="V53" s="624"/>
      <c r="W53" s="623"/>
      <c r="X53" s="623"/>
      <c r="Y53" s="623"/>
      <c r="Z53" s="623"/>
      <c r="AA53" s="625"/>
      <c r="AB53" s="625"/>
      <c r="AC53" s="625"/>
      <c r="AD53" s="623"/>
      <c r="AE53" s="623"/>
      <c r="AF53" s="623"/>
      <c r="AG53" s="623"/>
      <c r="AH53" s="623"/>
      <c r="AI53" s="626"/>
      <c r="AJ53" s="623"/>
      <c r="AK53" s="627"/>
      <c r="AL53" s="628"/>
      <c r="AM53" s="620"/>
      <c r="AN53" s="623"/>
      <c r="AO53" s="623"/>
      <c r="AP53" s="623"/>
      <c r="AQ53" s="623"/>
      <c r="AR53" s="623"/>
      <c r="AS53" s="673"/>
      <c r="AT53" s="623"/>
      <c r="AU53" s="623"/>
      <c r="AW53" s="629"/>
      <c r="AX53" s="631"/>
      <c r="AY53" s="632"/>
    </row>
    <row r="54" spans="1:51" s="671" customFormat="1" ht="49.8" customHeight="1" thickBot="1" x14ac:dyDescent="0.35">
      <c r="B54" s="636"/>
      <c r="C54" s="662"/>
      <c r="D54" s="662"/>
      <c r="E54" s="662"/>
      <c r="F54" s="662"/>
      <c r="G54" s="663"/>
      <c r="H54" s="662"/>
      <c r="I54" s="664"/>
      <c r="J54" s="665"/>
      <c r="K54" s="666"/>
      <c r="L54" s="665"/>
      <c r="M54" s="667"/>
      <c r="N54" s="667"/>
      <c r="O54" s="662"/>
      <c r="P54" s="668">
        <f t="shared" ref="P54:X54" si="34">SUBTOTAL(9,P6:P53)</f>
        <v>2280000</v>
      </c>
      <c r="Q54" s="668">
        <f t="shared" si="34"/>
        <v>1425000</v>
      </c>
      <c r="R54" s="668">
        <f t="shared" si="34"/>
        <v>570000</v>
      </c>
      <c r="S54" s="668">
        <f t="shared" si="34"/>
        <v>142500</v>
      </c>
      <c r="T54" s="668">
        <f t="shared" si="34"/>
        <v>302500</v>
      </c>
      <c r="U54" s="668">
        <f t="shared" si="34"/>
        <v>2440000</v>
      </c>
      <c r="V54" s="668">
        <f t="shared" si="34"/>
        <v>0</v>
      </c>
      <c r="W54" s="668">
        <f t="shared" si="34"/>
        <v>0</v>
      </c>
      <c r="X54" s="668">
        <f t="shared" si="34"/>
        <v>0</v>
      </c>
      <c r="Y54" s="661"/>
      <c r="Z54" s="668">
        <f>SUBTOTAL(9,Z6:Z53)</f>
        <v>104087.09273182959</v>
      </c>
      <c r="AA54" s="669"/>
      <c r="AB54" s="669"/>
      <c r="AC54" s="668">
        <f t="shared" ref="AC54:AI54" si="35">SUBTOTAL(9,AC6:AC53)</f>
        <v>2192.9824561403511</v>
      </c>
      <c r="AD54" s="668">
        <f t="shared" si="35"/>
        <v>2333719.9248120296</v>
      </c>
      <c r="AE54" s="668">
        <f t="shared" si="35"/>
        <v>40585.4</v>
      </c>
      <c r="AF54" s="668">
        <f t="shared" si="35"/>
        <v>1750</v>
      </c>
      <c r="AG54" s="668">
        <f t="shared" si="35"/>
        <v>160000</v>
      </c>
      <c r="AH54" s="668">
        <f t="shared" si="35"/>
        <v>15000</v>
      </c>
      <c r="AI54" s="670">
        <f t="shared" si="35"/>
        <v>2116384.5248120301</v>
      </c>
      <c r="AJ54" s="668"/>
      <c r="AK54" s="668"/>
      <c r="AL54" s="668"/>
      <c r="AM54" s="668"/>
      <c r="AN54" s="668">
        <f t="shared" ref="AN54:AU54" si="36">SUBTOTAL(9,AN6:AN53)</f>
        <v>1902664.6</v>
      </c>
      <c r="AO54" s="668">
        <f t="shared" si="36"/>
        <v>0</v>
      </c>
      <c r="AP54" s="668">
        <f t="shared" si="36"/>
        <v>0</v>
      </c>
      <c r="AQ54" s="668">
        <f t="shared" si="36"/>
        <v>146202.38095238095</v>
      </c>
      <c r="AR54" s="668">
        <f t="shared" si="36"/>
        <v>42078.947368421053</v>
      </c>
      <c r="AS54" s="670">
        <f t="shared" si="36"/>
        <v>2090945.928320802</v>
      </c>
      <c r="AT54" s="668">
        <f t="shared" si="36"/>
        <v>25438.596491228069</v>
      </c>
      <c r="AU54" s="668">
        <f t="shared" si="36"/>
        <v>2116384.5248120301</v>
      </c>
      <c r="AW54" s="629"/>
      <c r="AX54" s="631">
        <f>+Master!$K$1</f>
        <v>276</v>
      </c>
      <c r="AY54" s="672">
        <f>+AD54/AX54</f>
        <v>8455.5069739566297</v>
      </c>
    </row>
    <row r="55" spans="1:51" s="387" customFormat="1" ht="28.2" customHeight="1" thickTop="1" x14ac:dyDescent="0.3">
      <c r="B55" s="408"/>
      <c r="C55" s="411"/>
      <c r="D55" s="411"/>
      <c r="E55" s="411"/>
      <c r="F55" s="411"/>
      <c r="G55" s="412"/>
      <c r="H55" s="411"/>
      <c r="I55" s="413"/>
      <c r="J55" s="414"/>
      <c r="K55" s="535"/>
      <c r="L55" s="414"/>
      <c r="M55" s="460"/>
      <c r="N55" s="460"/>
      <c r="O55" s="411"/>
      <c r="P55" s="410"/>
      <c r="Q55" s="410"/>
      <c r="R55" s="410"/>
      <c r="S55" s="410"/>
      <c r="T55" s="410"/>
      <c r="U55" s="410"/>
      <c r="V55" s="410"/>
      <c r="W55" s="410"/>
      <c r="X55" s="410"/>
      <c r="Y55" s="410"/>
      <c r="Z55" s="410"/>
      <c r="AA55" s="410"/>
      <c r="AB55" s="410"/>
      <c r="AC55" s="410"/>
      <c r="AD55" s="410"/>
      <c r="AE55" s="410"/>
      <c r="AF55" s="410"/>
      <c r="AG55" s="410"/>
      <c r="AH55" s="410"/>
      <c r="AI55" s="410"/>
      <c r="AJ55" s="410"/>
      <c r="AK55" s="410"/>
      <c r="AL55" s="410"/>
      <c r="AM55" s="410"/>
      <c r="AN55" s="410"/>
      <c r="AO55" s="410"/>
      <c r="AP55" s="410"/>
      <c r="AQ55" s="410"/>
      <c r="AR55" s="410"/>
      <c r="AS55" s="410"/>
      <c r="AT55" s="410"/>
      <c r="AU55" s="410">
        <f>+AI54-AU54</f>
        <v>0</v>
      </c>
    </row>
    <row r="60" spans="1:51" ht="28.2" customHeight="1" x14ac:dyDescent="0.35">
      <c r="M60" s="616"/>
      <c r="N60" s="616"/>
    </row>
    <row r="61" spans="1:51" ht="28.2" customHeight="1" x14ac:dyDescent="0.35">
      <c r="M61" s="616"/>
      <c r="N61" s="616"/>
    </row>
    <row r="62" spans="1:51" ht="28.2" customHeight="1" x14ac:dyDescent="0.35">
      <c r="M62" s="616"/>
      <c r="N62" s="616"/>
    </row>
    <row r="63" spans="1:51" ht="28.2" customHeight="1" x14ac:dyDescent="0.35">
      <c r="M63" s="616"/>
      <c r="N63" s="616"/>
    </row>
    <row r="64" spans="1:51" ht="28.2" customHeight="1" x14ac:dyDescent="0.35">
      <c r="M64" s="616"/>
      <c r="N64" s="616"/>
    </row>
    <row r="65" spans="13:14" ht="28.2" customHeight="1" x14ac:dyDescent="0.35">
      <c r="M65" s="616"/>
      <c r="N65" s="616"/>
    </row>
    <row r="66" spans="13:14" ht="28.2" customHeight="1" x14ac:dyDescent="0.35">
      <c r="M66" s="616"/>
      <c r="N66" s="616"/>
    </row>
    <row r="67" spans="13:14" ht="28.2" customHeight="1" x14ac:dyDescent="0.35">
      <c r="M67" s="616"/>
      <c r="N67" s="616"/>
    </row>
    <row r="68" spans="13:14" ht="28.2" customHeight="1" x14ac:dyDescent="0.35">
      <c r="M68" s="616"/>
      <c r="N68" s="616"/>
    </row>
    <row r="69" spans="13:14" ht="28.2" customHeight="1" x14ac:dyDescent="0.35">
      <c r="M69" s="616"/>
      <c r="N69" s="616"/>
    </row>
    <row r="70" spans="13:14" ht="28.2" customHeight="1" x14ac:dyDescent="0.35">
      <c r="M70" s="616"/>
      <c r="N70" s="616"/>
    </row>
    <row r="71" spans="13:14" ht="28.2" customHeight="1" x14ac:dyDescent="0.35">
      <c r="M71" s="616"/>
      <c r="N71" s="616"/>
    </row>
    <row r="72" spans="13:14" ht="28.2" customHeight="1" x14ac:dyDescent="0.35">
      <c r="M72" s="616"/>
      <c r="N72" s="616"/>
    </row>
    <row r="73" spans="13:14" ht="28.2" customHeight="1" x14ac:dyDescent="0.35">
      <c r="M73" s="616"/>
      <c r="N73" s="616"/>
    </row>
    <row r="74" spans="13:14" ht="28.2" customHeight="1" x14ac:dyDescent="0.35">
      <c r="M74" s="616"/>
      <c r="N74" s="616"/>
    </row>
    <row r="75" spans="13:14" ht="28.2" customHeight="1" x14ac:dyDescent="0.35">
      <c r="M75" s="616"/>
      <c r="N75" s="616"/>
    </row>
    <row r="76" spans="13:14" ht="28.2" customHeight="1" x14ac:dyDescent="0.35">
      <c r="M76" s="616"/>
      <c r="N76" s="616"/>
    </row>
  </sheetData>
  <autoFilter ref="A5:AU43" xr:uid="{DD0576B0-B725-406A-9E6F-A0D80B272513}"/>
  <sortState xmlns:xlrd2="http://schemas.microsoft.com/office/spreadsheetml/2017/richdata2" ref="A42:AY51">
    <sortCondition ref="N42:N51"/>
  </sortState>
  <mergeCells count="1">
    <mergeCell ref="A3:B3"/>
  </mergeCells>
  <conditionalFormatting sqref="C2">
    <cfRule type="duplicateValues" dxfId="8" priority="1"/>
  </conditionalFormatting>
  <conditionalFormatting sqref="D6:F52">
    <cfRule type="cellIs" dxfId="7" priority="4" stopIfTrue="1" operator="equal">
      <formula>0</formula>
    </cfRule>
  </conditionalFormatting>
  <pageMargins left="0.21" right="0.25" top="0.46" bottom="0.17" header="0.31" footer="0.17"/>
  <pageSetup paperSize="9" scale="27" fitToHeight="0" orientation="landscape" r:id="rId1"/>
  <headerFooter>
    <oddHeader>&amp;RHARDWARE</oddHeader>
  </headerFooter>
  <rowBreaks count="1" manualBreakCount="1">
    <brk id="40" max="5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676DA-EB04-491A-BC32-2A0A1141E451}">
  <sheetPr codeName="Sheet11">
    <tabColor theme="5" tint="0.79998168889431442"/>
    <pageSetUpPr fitToPage="1"/>
  </sheetPr>
  <dimension ref="A1:BA51"/>
  <sheetViews>
    <sheetView view="pageBreakPreview" zoomScale="55" zoomScaleNormal="70" zoomScaleSheetLayoutView="55" workbookViewId="0">
      <selection activeCell="K25" sqref="K25"/>
    </sheetView>
  </sheetViews>
  <sheetFormatPr defaultColWidth="9.109375" defaultRowHeight="28.2" customHeight="1" x14ac:dyDescent="0.3"/>
  <cols>
    <col min="1" max="1" width="1.6640625" style="388" customWidth="1"/>
    <col min="2" max="2" width="11.5546875" style="388" bestFit="1" customWidth="1"/>
    <col min="3" max="3" width="14.5546875" style="389" bestFit="1" customWidth="1"/>
    <col min="4" max="6" width="14.44140625" style="389" customWidth="1"/>
    <col min="7" max="7" width="19.77734375" style="399" bestFit="1" customWidth="1"/>
    <col min="8" max="8" width="14.88671875" style="389" customWidth="1"/>
    <col min="9" max="9" width="29.5546875" style="388" bestFit="1" customWidth="1"/>
    <col min="10" max="10" width="19.77734375" style="388" customWidth="1"/>
    <col min="11" max="11" width="27.109375" style="388" bestFit="1" customWidth="1"/>
    <col min="12" max="12" width="27" style="388" customWidth="1"/>
    <col min="13" max="13" width="10.44140625" style="388" bestFit="1" customWidth="1"/>
    <col min="14" max="14" width="12.33203125" style="388" bestFit="1" customWidth="1"/>
    <col min="15" max="15" width="10" style="388" customWidth="1"/>
    <col min="16" max="16" width="16" style="393" customWidth="1"/>
    <col min="17" max="17" width="15.6640625" style="393" hidden="1" customWidth="1"/>
    <col min="18" max="18" width="14.33203125" style="393" hidden="1" customWidth="1"/>
    <col min="19" max="19" width="11.33203125" style="393" hidden="1" customWidth="1"/>
    <col min="20" max="20" width="13.33203125" style="393" hidden="1" customWidth="1"/>
    <col min="21" max="21" width="15.6640625" style="393" hidden="1" customWidth="1"/>
    <col min="22" max="22" width="13.6640625" style="394" hidden="1" customWidth="1"/>
    <col min="23" max="23" width="16.88671875" style="393" hidden="1" customWidth="1"/>
    <col min="24" max="24" width="19.109375" style="393" hidden="1" customWidth="1"/>
    <col min="25" max="25" width="13.109375" style="393" customWidth="1"/>
    <col min="26" max="27" width="12" style="393" customWidth="1"/>
    <col min="28" max="29" width="12" style="393" hidden="1" customWidth="1"/>
    <col min="30" max="30" width="16.88671875" style="393" bestFit="1" customWidth="1"/>
    <col min="31" max="31" width="10.6640625" style="393" bestFit="1" customWidth="1"/>
    <col min="32" max="32" width="10.77734375" style="393" bestFit="1" customWidth="1"/>
    <col min="33" max="33" width="12.6640625" style="393" bestFit="1" customWidth="1"/>
    <col min="34" max="34" width="15.5546875" style="393" bestFit="1" customWidth="1"/>
    <col min="35" max="35" width="13.88671875" style="393" bestFit="1" customWidth="1"/>
    <col min="36" max="36" width="20.5546875" style="393" customWidth="1"/>
    <col min="37" max="37" width="38.44140625" style="393" hidden="1" customWidth="1"/>
    <col min="38" max="38" width="21.77734375" style="393" bestFit="1" customWidth="1"/>
    <col min="39" max="39" width="23.44140625" style="393" customWidth="1"/>
    <col min="40" max="40" width="14.6640625" style="393" bestFit="1" customWidth="1"/>
    <col min="41" max="41" width="11.5546875" style="393" customWidth="1"/>
    <col min="42" max="42" width="12.33203125" style="393" customWidth="1"/>
    <col min="43" max="43" width="13.88671875" style="393" bestFit="1" customWidth="1"/>
    <col min="44" max="44" width="15.5546875" style="393" bestFit="1" customWidth="1"/>
    <col min="45" max="45" width="13.5546875" style="393" customWidth="1"/>
    <col min="46" max="46" width="15.44140625" style="393" bestFit="1" customWidth="1"/>
    <col min="47" max="47" width="13.88671875" style="393" bestFit="1" customWidth="1"/>
    <col min="48" max="48" width="9.109375" style="388" customWidth="1"/>
    <col min="49" max="49" width="1.6640625" style="388" customWidth="1"/>
    <col min="50" max="50" width="11.77734375" style="388" bestFit="1" customWidth="1"/>
    <col min="51" max="51" width="13.88671875" style="388" bestFit="1" customWidth="1"/>
    <col min="52" max="52" width="9.109375" style="388"/>
    <col min="53" max="53" width="14.6640625" style="388" bestFit="1" customWidth="1"/>
    <col min="54" max="16384" width="9.109375" style="388"/>
  </cols>
  <sheetData>
    <row r="1" spans="1:53" ht="28.2" customHeight="1" x14ac:dyDescent="0.3">
      <c r="A1" s="387" t="s">
        <v>162</v>
      </c>
      <c r="G1" s="390"/>
      <c r="H1" s="391"/>
      <c r="I1" s="392"/>
      <c r="J1" s="392"/>
      <c r="N1" s="388" t="s">
        <v>192</v>
      </c>
      <c r="O1" s="393"/>
      <c r="P1" s="388" t="s">
        <v>192</v>
      </c>
      <c r="Q1" s="388" t="s">
        <v>192</v>
      </c>
      <c r="R1" s="388" t="s">
        <v>192</v>
      </c>
      <c r="S1" s="388" t="s">
        <v>192</v>
      </c>
      <c r="U1" s="394"/>
      <c r="V1" s="393"/>
      <c r="Z1" s="388" t="s">
        <v>192</v>
      </c>
      <c r="AA1" s="388" t="s">
        <v>192</v>
      </c>
      <c r="AB1" s="388" t="s">
        <v>192</v>
      </c>
      <c r="AD1" s="395"/>
    </row>
    <row r="2" spans="1:53" ht="28.2" customHeight="1" x14ac:dyDescent="0.3">
      <c r="A2" s="387" t="s">
        <v>0</v>
      </c>
      <c r="C2" s="396" t="s">
        <v>576</v>
      </c>
      <c r="D2" s="396"/>
      <c r="E2" s="396"/>
      <c r="F2" s="396"/>
      <c r="G2" s="397">
        <v>2024</v>
      </c>
      <c r="H2" s="396"/>
    </row>
    <row r="3" spans="1:53" ht="28.2" customHeight="1" x14ac:dyDescent="0.3">
      <c r="A3" s="387"/>
      <c r="C3" s="396"/>
      <c r="D3" s="396"/>
      <c r="E3" s="396"/>
      <c r="F3" s="396"/>
      <c r="G3" s="397"/>
      <c r="H3" s="396"/>
    </row>
    <row r="4" spans="1:53" ht="18" hidden="1" customHeight="1" x14ac:dyDescent="0.3">
      <c r="A4" s="398"/>
      <c r="B4" s="398"/>
      <c r="C4" s="398"/>
      <c r="D4" s="398"/>
      <c r="E4" s="398"/>
      <c r="F4" s="398"/>
      <c r="G4" s="399">
        <v>2</v>
      </c>
      <c r="H4" s="389">
        <v>3</v>
      </c>
      <c r="I4" s="389">
        <v>4</v>
      </c>
      <c r="J4" s="389">
        <v>5</v>
      </c>
      <c r="K4" s="389">
        <v>6</v>
      </c>
      <c r="L4" s="389">
        <v>7</v>
      </c>
      <c r="M4" s="389">
        <v>8</v>
      </c>
      <c r="N4" s="389">
        <v>9</v>
      </c>
      <c r="O4" s="389">
        <v>10</v>
      </c>
      <c r="P4" s="389">
        <v>11</v>
      </c>
      <c r="Q4" s="389">
        <v>12</v>
      </c>
      <c r="R4" s="389">
        <v>13</v>
      </c>
      <c r="S4" s="389">
        <v>14</v>
      </c>
      <c r="T4" s="389">
        <v>15</v>
      </c>
      <c r="U4" s="389">
        <v>16</v>
      </c>
      <c r="V4" s="389">
        <v>17</v>
      </c>
      <c r="W4" s="389">
        <v>18</v>
      </c>
      <c r="X4" s="389">
        <v>19</v>
      </c>
      <c r="Y4" s="389">
        <v>20</v>
      </c>
      <c r="Z4" s="389">
        <v>21</v>
      </c>
      <c r="AA4" s="389">
        <v>22</v>
      </c>
      <c r="AB4" s="389">
        <v>23</v>
      </c>
      <c r="AC4" s="389">
        <v>24</v>
      </c>
      <c r="AD4" s="389">
        <v>25</v>
      </c>
      <c r="AE4" s="389">
        <v>26</v>
      </c>
      <c r="AF4" s="389">
        <v>27</v>
      </c>
      <c r="AG4" s="389">
        <v>28</v>
      </c>
      <c r="AH4" s="389">
        <v>29</v>
      </c>
      <c r="AI4" s="389">
        <v>30</v>
      </c>
      <c r="AJ4" s="389">
        <v>31</v>
      </c>
      <c r="AK4" s="389">
        <v>32</v>
      </c>
      <c r="AL4" s="389">
        <v>33</v>
      </c>
      <c r="AM4" s="389">
        <v>34</v>
      </c>
      <c r="AN4" s="389">
        <v>35</v>
      </c>
      <c r="AO4" s="389">
        <v>36</v>
      </c>
      <c r="AP4" s="389">
        <v>37</v>
      </c>
      <c r="AQ4" s="389">
        <v>38</v>
      </c>
      <c r="AR4" s="389">
        <v>39</v>
      </c>
      <c r="AS4" s="389">
        <v>40</v>
      </c>
      <c r="AT4" s="393">
        <v>41</v>
      </c>
      <c r="AU4" s="393">
        <v>42</v>
      </c>
      <c r="AV4" s="393"/>
    </row>
    <row r="5" spans="1:53" s="397" customFormat="1" ht="81.599999999999994" x14ac:dyDescent="0.3">
      <c r="B5" s="400" t="s">
        <v>1</v>
      </c>
      <c r="C5" s="400" t="s">
        <v>2</v>
      </c>
      <c r="D5" s="317" t="s">
        <v>553</v>
      </c>
      <c r="E5" s="317" t="s">
        <v>554</v>
      </c>
      <c r="F5" s="317" t="s">
        <v>555</v>
      </c>
      <c r="G5" s="400" t="s">
        <v>83</v>
      </c>
      <c r="H5" s="400" t="s">
        <v>68</v>
      </c>
      <c r="I5" s="400" t="s">
        <v>3</v>
      </c>
      <c r="J5" s="401" t="s">
        <v>4</v>
      </c>
      <c r="K5" s="401" t="s">
        <v>5</v>
      </c>
      <c r="L5" s="401" t="s">
        <v>439</v>
      </c>
      <c r="M5" s="401" t="s">
        <v>66</v>
      </c>
      <c r="N5" s="401" t="s">
        <v>58</v>
      </c>
      <c r="O5" s="400" t="s">
        <v>6</v>
      </c>
      <c r="P5" s="402" t="s">
        <v>7</v>
      </c>
      <c r="Q5" s="402" t="s">
        <v>8</v>
      </c>
      <c r="R5" s="402" t="s">
        <v>9</v>
      </c>
      <c r="S5" s="402" t="s">
        <v>10</v>
      </c>
      <c r="T5" s="402" t="s">
        <v>11</v>
      </c>
      <c r="U5" s="402" t="s">
        <v>12</v>
      </c>
      <c r="V5" s="402" t="s">
        <v>13</v>
      </c>
      <c r="W5" s="402" t="s">
        <v>14</v>
      </c>
      <c r="X5" s="402" t="s">
        <v>15</v>
      </c>
      <c r="Y5" s="402" t="s">
        <v>67</v>
      </c>
      <c r="Z5" s="402" t="s">
        <v>16</v>
      </c>
      <c r="AA5" s="402" t="s">
        <v>70</v>
      </c>
      <c r="AB5" s="402" t="s">
        <v>17</v>
      </c>
      <c r="AC5" s="402" t="s">
        <v>18</v>
      </c>
      <c r="AD5" s="402" t="s">
        <v>19</v>
      </c>
      <c r="AE5" s="402" t="s">
        <v>20</v>
      </c>
      <c r="AF5" s="402" t="s">
        <v>73</v>
      </c>
      <c r="AG5" s="402" t="s">
        <v>21</v>
      </c>
      <c r="AH5" s="402" t="s">
        <v>22</v>
      </c>
      <c r="AI5" s="403" t="s">
        <v>23</v>
      </c>
      <c r="AJ5" s="402" t="s">
        <v>24</v>
      </c>
      <c r="AK5" s="402" t="s">
        <v>25</v>
      </c>
      <c r="AL5" s="404" t="s">
        <v>109</v>
      </c>
      <c r="AM5" s="402" t="s">
        <v>111</v>
      </c>
      <c r="AN5" s="402" t="s">
        <v>112</v>
      </c>
      <c r="AO5" s="402" t="s">
        <v>113</v>
      </c>
      <c r="AP5" s="402" t="s">
        <v>92</v>
      </c>
      <c r="AQ5" s="402" t="s">
        <v>93</v>
      </c>
      <c r="AR5" s="402" t="s">
        <v>26</v>
      </c>
      <c r="AS5" s="402" t="s">
        <v>196</v>
      </c>
      <c r="AT5" s="402" t="s">
        <v>27</v>
      </c>
      <c r="AU5" s="402" t="s">
        <v>94</v>
      </c>
      <c r="AX5" s="397" t="s">
        <v>271</v>
      </c>
      <c r="AY5" s="402" t="s">
        <v>273</v>
      </c>
    </row>
    <row r="6" spans="1:53" s="617" customFormat="1" ht="60" customHeight="1" x14ac:dyDescent="0.3">
      <c r="B6" s="618">
        <v>1</v>
      </c>
      <c r="C6" s="618">
        <v>53</v>
      </c>
      <c r="D6" s="630">
        <f>_xlfn.XLOOKUP(C6,Master[Emp Code],Master[date of last increment])</f>
        <v>43890</v>
      </c>
      <c r="E6" s="618">
        <f>_xlfn.XLOOKUP(C6,Master[Emp Code],Master[[last incremnet ]])</f>
        <v>15000</v>
      </c>
      <c r="F6" s="618">
        <f>_xlfn.XLOOKUP(C6,Master[Emp Code],Master['# Months Since Last Increment])</f>
        <v>2</v>
      </c>
      <c r="G6" s="619">
        <f>VLOOKUP($C6,Master!$F:$AU,G$4,FALSE)</f>
        <v>42752</v>
      </c>
      <c r="H6" s="618" t="str">
        <f>VLOOKUP($C6,Master!$F:$AU,H$4,FALSE)</f>
        <v>CT</v>
      </c>
      <c r="I6" s="406" t="str">
        <f>VLOOKUP($C6,Master!$F:$AU,I$4,FALSE)</f>
        <v>Muhammad Mubashir</v>
      </c>
      <c r="J6" s="620" t="str">
        <f>VLOOKUP($C6,Master!$F:$AU,J$4,FALSE)</f>
        <v>Accounts</v>
      </c>
      <c r="K6" s="620" t="str">
        <f>VLOOKUP($C6,Master!$F:$AU,K$4,FALSE)</f>
        <v xml:space="preserve">Assiatant Manager Accounts </v>
      </c>
      <c r="L6" s="620" t="str">
        <f>VLOOKUP($C6,Master!$F:$AU,L$4,FALSE)</f>
        <v>Farooq Khan</v>
      </c>
      <c r="M6" s="620" t="str">
        <f>VLOOKUP($C6,Master!$F:$AU,M$4,FALSE)</f>
        <v>ALL</v>
      </c>
      <c r="N6" s="620" t="str">
        <f>VLOOKUP($C6,Master!$F:$AU,N$4,FALSE)</f>
        <v>ALL</v>
      </c>
      <c r="O6" s="618" t="str">
        <f>VLOOKUP($C6,Master!$F:$AU,O$4,FALSE)</f>
        <v>P</v>
      </c>
      <c r="P6" s="623">
        <f>VLOOKUP($C6,Master!$F:$AU,P$4,FALSE)</f>
        <v>145000</v>
      </c>
      <c r="Q6" s="623">
        <f>VLOOKUP($C6,Master!$F:$AU,Q$4,FALSE)</f>
        <v>90625</v>
      </c>
      <c r="R6" s="623">
        <f>VLOOKUP($C6,Master!$F:$AU,R$4,FALSE)</f>
        <v>36250</v>
      </c>
      <c r="S6" s="623">
        <f>VLOOKUP($C6,Master!$F:$AU,S$4,FALSE)</f>
        <v>9062.5</v>
      </c>
      <c r="T6" s="623">
        <f>VLOOKUP($C6,Master!$F:$AU,T$4,FALSE)</f>
        <v>9062.5</v>
      </c>
      <c r="U6" s="623">
        <f>VLOOKUP($C6,Master!$F:$AU,U$4,FALSE)</f>
        <v>145000</v>
      </c>
      <c r="V6" s="624">
        <f>VLOOKUP($C6,Master!$F:$AU,V$4,FALSE)</f>
        <v>0</v>
      </c>
      <c r="W6" s="623">
        <f>VLOOKUP($C6,Master!$F:$AU,W$4,FALSE)</f>
        <v>0</v>
      </c>
      <c r="X6" s="623">
        <f>VLOOKUP($C6,Master!$F:$AU,X$4,FALSE)</f>
        <v>0</v>
      </c>
      <c r="Y6" s="623">
        <f>VLOOKUP($C6,Master!$F:$AU,Y$4,FALSE)</f>
        <v>0</v>
      </c>
      <c r="Z6" s="623">
        <f>VLOOKUP($C6,Master!$F:$AU,Z$4,FALSE)</f>
        <v>0</v>
      </c>
      <c r="AA6" s="625">
        <f>VLOOKUP($C6,Master!$F:$AU,AA$4,FALSE)</f>
        <v>847.953216374269</v>
      </c>
      <c r="AB6" s="625">
        <f>VLOOKUP($C6,Master!$F:$AU,AB$4,FALSE)</f>
        <v>0</v>
      </c>
      <c r="AC6" s="625">
        <f>VLOOKUP($C6,Master!$F:$AU,AC$4,FALSE)</f>
        <v>0</v>
      </c>
      <c r="AD6" s="623">
        <f>VLOOKUP($C6,Master!$F:$AU,AD$4,FALSE)</f>
        <v>145000</v>
      </c>
      <c r="AE6" s="623">
        <f>VLOOKUP($C6,Master!$F:$AU,AE$4,FALSE)</f>
        <v>1321</v>
      </c>
      <c r="AF6" s="623">
        <f>VLOOKUP($C6,Master!$F:$AU,AF$4,FALSE)</f>
        <v>250</v>
      </c>
      <c r="AG6" s="623">
        <f>VLOOKUP($C6,Master!$F:$AU,AG$4,FALSE)</f>
        <v>0</v>
      </c>
      <c r="AH6" s="623">
        <f>VLOOKUP($C6,Master!$F:$AU,AH$4,FALSE)</f>
        <v>0</v>
      </c>
      <c r="AI6" s="626">
        <f>VLOOKUP($C6,Master!$F:$AU,AI$4,FALSE)</f>
        <v>143429</v>
      </c>
      <c r="AJ6" s="407" t="str">
        <f>VLOOKUP($C6,Master!$F:$AU,AJ$4,FALSE)</f>
        <v>Habib Bank Limited</v>
      </c>
      <c r="AK6" s="407" t="str">
        <f>VLOOKUP($C6,Master!$F:$AU,AK$4,FALSE)</f>
        <v>0017-79008158-03</v>
      </c>
      <c r="AL6" s="404" t="str">
        <f>VLOOKUP($C6,Master!$F:$AU,AL$4,FALSE)</f>
        <v>42201-7208948-9</v>
      </c>
      <c r="AM6" s="620" t="str">
        <f>VLOOKUP($C6,Master!$F:$AU,AM$4,FALSE)</f>
        <v>Mubashir</v>
      </c>
      <c r="AN6" s="623">
        <f>VLOOKUP($C6,Master!$F:$AU,AN$4,FALSE)</f>
        <v>143429</v>
      </c>
      <c r="AO6" s="623">
        <f>VLOOKUP($C6,Master!$F:$AU,AO$4,FALSE)</f>
        <v>0</v>
      </c>
      <c r="AP6" s="623">
        <f>VLOOKUP($C6,Master!$F:$AU,AP$4,FALSE)</f>
        <v>0</v>
      </c>
      <c r="AQ6" s="623">
        <f>VLOOKUP($C6,Master!$F:$AU,AQ$4,FALSE)</f>
        <v>0</v>
      </c>
      <c r="AR6" s="623">
        <f>VLOOKUP($C6,Master!$F:$AU,AR$4,FALSE)</f>
        <v>0</v>
      </c>
      <c r="AS6" s="624">
        <f>VLOOKUP($C6,Master!$F:$AU,AS$4,FALSE)</f>
        <v>143429</v>
      </c>
      <c r="AT6" s="623">
        <f>VLOOKUP($C6,Master!$F:$AU,AT$4,FALSE)</f>
        <v>0</v>
      </c>
      <c r="AU6" s="623">
        <f>VLOOKUP($C6,Master!$F:$AU,AU$4,FALSE)</f>
        <v>143429</v>
      </c>
      <c r="AW6" s="675"/>
      <c r="AX6" s="631">
        <f>+Master!$K$1</f>
        <v>276</v>
      </c>
      <c r="AY6" s="632">
        <f t="shared" ref="AY6:AY13" si="0">+AD6/AX6</f>
        <v>525.36231884057975</v>
      </c>
    </row>
    <row r="7" spans="1:53" s="617" customFormat="1" ht="60" customHeight="1" x14ac:dyDescent="0.3">
      <c r="B7" s="618">
        <v>2</v>
      </c>
      <c r="C7" s="618">
        <v>78</v>
      </c>
      <c r="D7" s="630">
        <f>_xlfn.XLOOKUP(C7,Master[Emp Code],Master[date of last increment])</f>
        <v>43677</v>
      </c>
      <c r="E7" s="618">
        <f>_xlfn.XLOOKUP(C7,Master[Emp Code],Master[[last incremnet ]])</f>
        <v>17000</v>
      </c>
      <c r="F7" s="618">
        <f>_xlfn.XLOOKUP(C7,Master[Emp Code],Master['# Months Since Last Increment])</f>
        <v>9</v>
      </c>
      <c r="G7" s="619">
        <f>VLOOKUP($C7,Master!$F:$AU,G$4,FALSE)</f>
        <v>42927</v>
      </c>
      <c r="H7" s="618" t="str">
        <f>VLOOKUP($C7,Master!$F:$AU,H$4,FALSE)</f>
        <v>CT</v>
      </c>
      <c r="I7" s="406" t="str">
        <f>VLOOKUP($C7,Master!$F:$AU,I$4,FALSE)</f>
        <v>Muhammad Farooq Khan</v>
      </c>
      <c r="J7" s="620" t="str">
        <f>VLOOKUP($C7,Master!$F:$AU,J$4,FALSE)</f>
        <v>Accounts</v>
      </c>
      <c r="K7" s="620" t="str">
        <f>VLOOKUP($C7,Master!$F:$AU,K$4,FALSE)</f>
        <v>Manager Accounts</v>
      </c>
      <c r="L7" s="620" t="str">
        <f>VLOOKUP($C7,Master!$F:$AU,L$4,FALSE)</f>
        <v>Wahaj Qureshi</v>
      </c>
      <c r="M7" s="620" t="str">
        <f>VLOOKUP($C7,Master!$F:$AU,M$4,FALSE)</f>
        <v>ALL</v>
      </c>
      <c r="N7" s="620" t="str">
        <f>VLOOKUP($C7,Master!$F:$AU,N$4,FALSE)</f>
        <v>ALL</v>
      </c>
      <c r="O7" s="618" t="str">
        <f>VLOOKUP($C7,Master!$F:$AU,O$4,FALSE)</f>
        <v>P</v>
      </c>
      <c r="P7" s="623">
        <f>VLOOKUP($C7,Master!$F:$AU,P$4,FALSE)</f>
        <v>187000</v>
      </c>
      <c r="Q7" s="623">
        <f>VLOOKUP($C7,Master!$F:$AU,Q$4,FALSE)</f>
        <v>116875</v>
      </c>
      <c r="R7" s="623">
        <f>VLOOKUP($C7,Master!$F:$AU,R$4,FALSE)</f>
        <v>46750</v>
      </c>
      <c r="S7" s="623">
        <f>VLOOKUP($C7,Master!$F:$AU,S$4,FALSE)</f>
        <v>11687.5</v>
      </c>
      <c r="T7" s="623">
        <f>VLOOKUP($C7,Master!$F:$AU,T$4,FALSE)</f>
        <v>11687.5</v>
      </c>
      <c r="U7" s="623">
        <f>VLOOKUP($C7,Master!$F:$AU,U$4,FALSE)</f>
        <v>187000</v>
      </c>
      <c r="V7" s="624">
        <f>VLOOKUP($C7,Master!$F:$AU,V$4,FALSE)</f>
        <v>0</v>
      </c>
      <c r="W7" s="623">
        <f>VLOOKUP($C7,Master!$F:$AU,W$4,FALSE)</f>
        <v>0</v>
      </c>
      <c r="X7" s="623">
        <f>VLOOKUP($C7,Master!$F:$AU,X$4,FALSE)</f>
        <v>0</v>
      </c>
      <c r="Y7" s="623">
        <f>VLOOKUP($C7,Master!$F:$AU,Y$4,FALSE)</f>
        <v>0</v>
      </c>
      <c r="Z7" s="623">
        <f>VLOOKUP($C7,Master!$F:$AU,Z$4,FALSE)</f>
        <v>0</v>
      </c>
      <c r="AA7" s="625">
        <f>VLOOKUP($C7,Master!$F:$AU,AA$4,FALSE)</f>
        <v>1093.5672514619882</v>
      </c>
      <c r="AB7" s="625">
        <f>VLOOKUP($C7,Master!$F:$AU,AB$4,FALSE)</f>
        <v>0</v>
      </c>
      <c r="AC7" s="625">
        <f>VLOOKUP($C7,Master!$F:$AU,AC$4,FALSE)</f>
        <v>0</v>
      </c>
      <c r="AD7" s="623">
        <f>VLOOKUP($C7,Master!$F:$AU,AD$4,FALSE)</f>
        <v>187000</v>
      </c>
      <c r="AE7" s="623">
        <f>VLOOKUP($C7,Master!$F:$AU,AE$4,FALSE)</f>
        <v>3485.4</v>
      </c>
      <c r="AF7" s="623">
        <f>VLOOKUP($C7,Master!$F:$AU,AF$4,FALSE)</f>
        <v>250</v>
      </c>
      <c r="AG7" s="623">
        <f>VLOOKUP($C7,Master!$F:$AU,AG$4,FALSE)</f>
        <v>0</v>
      </c>
      <c r="AH7" s="623">
        <f>VLOOKUP($C7,Master!$F:$AU,AH$4,FALSE)</f>
        <v>0</v>
      </c>
      <c r="AI7" s="626">
        <f>VLOOKUP($C7,Master!$F:$AU,AI$4,FALSE)</f>
        <v>183264.6</v>
      </c>
      <c r="AJ7" s="407" t="str">
        <f>VLOOKUP($C7,Master!$F:$AU,AJ$4,FALSE)</f>
        <v>Habib Bank Limited</v>
      </c>
      <c r="AK7" s="407" t="str">
        <f>VLOOKUP($C7,Master!$F:$AU,AK$4,FALSE)</f>
        <v>0017-79008339-03</v>
      </c>
      <c r="AL7" s="404" t="str">
        <f>VLOOKUP($C7,Master!$F:$AU,AL$4,FALSE)</f>
        <v>42201-0755649-5</v>
      </c>
      <c r="AM7" s="620" t="str">
        <f>VLOOKUP($C7,Master!$F:$AU,AM$4,FALSE)</f>
        <v>M Farooq Khan</v>
      </c>
      <c r="AN7" s="623">
        <f>VLOOKUP($C7,Master!$F:$AU,AN$4,FALSE)</f>
        <v>133265</v>
      </c>
      <c r="AO7" s="623">
        <f>VLOOKUP($C7,Master!$F:$AU,AO$4,FALSE)</f>
        <v>0</v>
      </c>
      <c r="AP7" s="623">
        <f>VLOOKUP($C7,Master!$F:$AU,AP$4,FALSE)</f>
        <v>0</v>
      </c>
      <c r="AQ7" s="623">
        <f>VLOOKUP($C7,Master!$F:$AU,AQ$4,FALSE)</f>
        <v>50000</v>
      </c>
      <c r="AR7" s="623">
        <f>VLOOKUP($C7,Master!$F:$AU,AR$4,FALSE)</f>
        <v>0</v>
      </c>
      <c r="AS7" s="624">
        <f>VLOOKUP($C7,Master!$F:$AU,AS$4,FALSE)</f>
        <v>183265</v>
      </c>
      <c r="AT7" s="623">
        <f>VLOOKUP($C7,Master!$F:$AU,AT$4,FALSE)</f>
        <v>0</v>
      </c>
      <c r="AU7" s="623">
        <f>VLOOKUP($C7,Master!$F:$AU,AU$4,FALSE)</f>
        <v>183265</v>
      </c>
      <c r="AW7" s="675"/>
      <c r="AX7" s="631">
        <f>+Master!$K$1</f>
        <v>276</v>
      </c>
      <c r="AY7" s="632">
        <f t="shared" si="0"/>
        <v>677.536231884058</v>
      </c>
      <c r="BA7" s="676">
        <f>125000/162</f>
        <v>771.60493827160496</v>
      </c>
    </row>
    <row r="8" spans="1:53" s="617" customFormat="1" ht="60" customHeight="1" x14ac:dyDescent="0.3">
      <c r="B8" s="618">
        <v>3</v>
      </c>
      <c r="C8" s="618">
        <v>168</v>
      </c>
      <c r="D8" s="630">
        <f>_xlfn.XLOOKUP(C8,Master[Emp Code],Master[date of last increment])</f>
        <v>43738</v>
      </c>
      <c r="E8" s="618">
        <f>_xlfn.XLOOKUP(C8,Master[Emp Code],Master[[last incremnet ]])</f>
        <v>5000</v>
      </c>
      <c r="F8" s="618">
        <f>_xlfn.XLOOKUP(C8,Master[Emp Code],Master['# Months Since Last Increment])</f>
        <v>7</v>
      </c>
      <c r="G8" s="619" t="str">
        <f>VLOOKUP($C8,Master!$F:$AU,G$4,FALSE)</f>
        <v>01 Nov 2020 / 12 Sep 2022</v>
      </c>
      <c r="H8" s="618" t="str">
        <f>VLOOKUP($C8,Master!$F:$AU,H$4,FALSE)</f>
        <v>CT</v>
      </c>
      <c r="I8" s="406" t="str">
        <f>VLOOKUP($C8,Master!$F:$AU,I$4,FALSE)</f>
        <v>Ammanullah</v>
      </c>
      <c r="J8" s="620" t="str">
        <f>VLOOKUP($C8,Master!$F:$AU,J$4,FALSE)</f>
        <v>Administration</v>
      </c>
      <c r="K8" s="620" t="str">
        <f>VLOOKUP($C8,Master!$F:$AU,K$4,FALSE)</f>
        <v>Office Boy</v>
      </c>
      <c r="L8" s="620" t="str">
        <f>VLOOKUP($C8,Master!$F:$AU,L$4,FALSE)</f>
        <v>Mubashir</v>
      </c>
      <c r="M8" s="620" t="str">
        <f>VLOOKUP($C8,Master!$F:$AU,M$4,FALSE)</f>
        <v>ALL</v>
      </c>
      <c r="N8" s="620" t="str">
        <f>VLOOKUP($C8,Master!$F:$AU,N$4,FALSE)</f>
        <v>ALL</v>
      </c>
      <c r="O8" s="618" t="str">
        <f>VLOOKUP($C8,Master!$F:$AU,O$4,FALSE)</f>
        <v>P</v>
      </c>
      <c r="P8" s="623">
        <f>VLOOKUP($C8,Master!$F:$AU,P$4,FALSE)</f>
        <v>30000</v>
      </c>
      <c r="Q8" s="623">
        <f>VLOOKUP($C8,Master!$F:$AU,Q$4,FALSE)</f>
        <v>18750</v>
      </c>
      <c r="R8" s="623">
        <f>VLOOKUP($C8,Master!$F:$AU,R$4,FALSE)</f>
        <v>7500</v>
      </c>
      <c r="S8" s="623">
        <f>VLOOKUP($C8,Master!$F:$AU,S$4,FALSE)</f>
        <v>1875</v>
      </c>
      <c r="T8" s="623">
        <f>VLOOKUP($C8,Master!$F:$AU,T$4,FALSE)</f>
        <v>1875</v>
      </c>
      <c r="U8" s="623">
        <f>VLOOKUP($C8,Master!$F:$AU,U$4,FALSE)</f>
        <v>30000</v>
      </c>
      <c r="V8" s="624">
        <f>VLOOKUP($C8,Master!$F:$AU,V$4,FALSE)</f>
        <v>0</v>
      </c>
      <c r="W8" s="623">
        <f>VLOOKUP($C8,Master!$F:$AU,W$4,FALSE)</f>
        <v>0</v>
      </c>
      <c r="X8" s="623">
        <f>VLOOKUP($C8,Master!$F:$AU,X$4,FALSE)</f>
        <v>0</v>
      </c>
      <c r="Y8" s="623">
        <f>VLOOKUP($C8,Master!$F:$AU,Y$4,FALSE)</f>
        <v>0</v>
      </c>
      <c r="Z8" s="623">
        <f>VLOOKUP($C8,Master!$F:$AU,Z$4,FALSE)</f>
        <v>0</v>
      </c>
      <c r="AA8" s="625">
        <f>VLOOKUP($C8,Master!$F:$AU,AA$4,FALSE)</f>
        <v>175.43859649122808</v>
      </c>
      <c r="AB8" s="625">
        <f>VLOOKUP($C8,Master!$F:$AU,AB$4,FALSE)</f>
        <v>0</v>
      </c>
      <c r="AC8" s="625">
        <f>VLOOKUP($C8,Master!$F:$AU,AC$4,FALSE)</f>
        <v>0</v>
      </c>
      <c r="AD8" s="623">
        <f>VLOOKUP($C8,Master!$F:$AU,AD$4,FALSE)</f>
        <v>30000</v>
      </c>
      <c r="AE8" s="623">
        <f>VLOOKUP($C8,Master!$F:$AU,AE$4,FALSE)</f>
        <v>0</v>
      </c>
      <c r="AF8" s="623">
        <f>VLOOKUP($C8,Master!$F:$AU,AF$4,FALSE)</f>
        <v>0</v>
      </c>
      <c r="AG8" s="623">
        <f>VLOOKUP($C8,Master!$F:$AU,AG$4,FALSE)</f>
        <v>4000</v>
      </c>
      <c r="AH8" s="623">
        <f>VLOOKUP($C8,Master!$F:$AU,AH$4,FALSE)</f>
        <v>5000</v>
      </c>
      <c r="AI8" s="626">
        <f>VLOOKUP($C8,Master!$F:$AU,AI$4,FALSE)</f>
        <v>21000</v>
      </c>
      <c r="AJ8" s="407" t="str">
        <f>VLOOKUP($C8,Master!$F:$AU,AJ$4,FALSE)</f>
        <v>Habib Bank Limited</v>
      </c>
      <c r="AK8" s="407" t="str">
        <f>VLOOKUP($C8,Master!$F:$AU,AK$4,FALSE)</f>
        <v>0017-79008173-03</v>
      </c>
      <c r="AL8" s="404" t="str">
        <f>VLOOKUP($C8,Master!$F:$AU,AL$4,FALSE)</f>
        <v>32404-9685630-7</v>
      </c>
      <c r="AM8" s="620" t="str">
        <f>VLOOKUP($C8,Master!$F:$AU,AM$4,FALSE)</f>
        <v>Amanullah</v>
      </c>
      <c r="AN8" s="623">
        <f>VLOOKUP($C8,Master!$F:$AU,AN$4,FALSE)</f>
        <v>21000</v>
      </c>
      <c r="AO8" s="623">
        <f>VLOOKUP($C8,Master!$F:$AU,AO$4,FALSE)</f>
        <v>0</v>
      </c>
      <c r="AP8" s="623">
        <f>VLOOKUP($C8,Master!$F:$AU,AP$4,FALSE)</f>
        <v>0</v>
      </c>
      <c r="AQ8" s="623">
        <f>VLOOKUP($C8,Master!$F:$AU,AQ$4,FALSE)</f>
        <v>0</v>
      </c>
      <c r="AR8" s="623">
        <f>VLOOKUP($C8,Master!$F:$AU,AR$4,FALSE)</f>
        <v>0</v>
      </c>
      <c r="AS8" s="624">
        <f>VLOOKUP($C8,Master!$F:$AU,AS$4,FALSE)</f>
        <v>21000</v>
      </c>
      <c r="AT8" s="623">
        <f>VLOOKUP($C8,Master!$F:$AU,AT$4,FALSE)</f>
        <v>0</v>
      </c>
      <c r="AU8" s="623">
        <f>VLOOKUP($C8,Master!$F:$AU,AU$4,FALSE)</f>
        <v>21000</v>
      </c>
      <c r="AW8" s="675"/>
      <c r="AX8" s="631">
        <f>+Master!$K$1</f>
        <v>276</v>
      </c>
      <c r="AY8" s="632">
        <f t="shared" si="0"/>
        <v>108.69565217391305</v>
      </c>
    </row>
    <row r="9" spans="1:53" s="617" customFormat="1" ht="60" customHeight="1" x14ac:dyDescent="0.3">
      <c r="B9" s="618">
        <v>4</v>
      </c>
      <c r="C9" s="618">
        <v>999</v>
      </c>
      <c r="D9" s="630">
        <f>_xlfn.XLOOKUP(C9,Master[Emp Code],Master[date of last increment])</f>
        <v>0</v>
      </c>
      <c r="E9" s="618">
        <f>_xlfn.XLOOKUP(C9,Master[Emp Code],Master[[last incremnet ]])</f>
        <v>0</v>
      </c>
      <c r="F9" s="618">
        <f>_xlfn.XLOOKUP(C9,Master[Emp Code],Master['# Months Since Last Increment])</f>
        <v>0</v>
      </c>
      <c r="G9" s="619">
        <f>VLOOKUP($C9,Master!$F:$AU,G$4,FALSE)</f>
        <v>43496</v>
      </c>
      <c r="H9" s="618" t="str">
        <f>VLOOKUP($C9,Master!$F:$AU,H$4,FALSE)</f>
        <v>CT</v>
      </c>
      <c r="I9" s="406" t="str">
        <f>VLOOKUP($C9,Master!$F:$AU,I$4,FALSE)</f>
        <v>Muhammad Farooq</v>
      </c>
      <c r="J9" s="620" t="str">
        <f>VLOOKUP($C9,Master!$F:$AU,J$4,FALSE)</f>
        <v>Administration</v>
      </c>
      <c r="K9" s="620" t="str">
        <f>VLOOKUP($C9,Master!$F:$AU,K$4,FALSE)</f>
        <v>Electrician</v>
      </c>
      <c r="L9" s="620" t="str">
        <f>VLOOKUP($C9,Master!$F:$AU,L$4,FALSE)</f>
        <v>Mubashir</v>
      </c>
      <c r="M9" s="620" t="str">
        <f>VLOOKUP($C9,Master!$F:$AU,M$4,FALSE)</f>
        <v>ALL</v>
      </c>
      <c r="N9" s="620" t="str">
        <f>VLOOKUP($C9,Master!$F:$AU,N$4,FALSE)</f>
        <v>ALL</v>
      </c>
      <c r="O9" s="618" t="str">
        <f>VLOOKUP($C9,Master!$F:$AU,O$4,FALSE)</f>
        <v>NP</v>
      </c>
      <c r="P9" s="623">
        <f>VLOOKUP($C9,Master!$F:$AU,P$4,FALSE)</f>
        <v>15000</v>
      </c>
      <c r="Q9" s="623">
        <f>VLOOKUP($C9,Master!$F:$AU,Q$4,FALSE)</f>
        <v>9375</v>
      </c>
      <c r="R9" s="623">
        <f>VLOOKUP($C9,Master!$F:$AU,R$4,FALSE)</f>
        <v>3750</v>
      </c>
      <c r="S9" s="623">
        <f>VLOOKUP($C9,Master!$F:$AU,S$4,FALSE)</f>
        <v>937.5</v>
      </c>
      <c r="T9" s="623">
        <f>VLOOKUP($C9,Master!$F:$AU,T$4,FALSE)</f>
        <v>937.5</v>
      </c>
      <c r="U9" s="623">
        <f>VLOOKUP($C9,Master!$F:$AU,U$4,FALSE)</f>
        <v>15000</v>
      </c>
      <c r="V9" s="624">
        <f>VLOOKUP($C9,Master!$F:$AU,V$4,FALSE)</f>
        <v>0</v>
      </c>
      <c r="W9" s="623">
        <f>VLOOKUP($C9,Master!$F:$AU,W$4,FALSE)</f>
        <v>0</v>
      </c>
      <c r="X9" s="623">
        <f>VLOOKUP($C9,Master!$F:$AU,X$4,FALSE)</f>
        <v>0</v>
      </c>
      <c r="Y9" s="623">
        <f>VLOOKUP($C9,Master!$F:$AU,Y$4,FALSE)</f>
        <v>0</v>
      </c>
      <c r="Z9" s="623">
        <f>VLOOKUP($C9,Master!$F:$AU,Z$4,FALSE)</f>
        <v>0</v>
      </c>
      <c r="AA9" s="625">
        <f>VLOOKUP($C9,Master!$F:$AU,AA$4,FALSE)</f>
        <v>87.719298245614041</v>
      </c>
      <c r="AB9" s="625">
        <f>VLOOKUP($C9,Master!$F:$AU,AB$4,FALSE)</f>
        <v>0</v>
      </c>
      <c r="AC9" s="625">
        <f>VLOOKUP($C9,Master!$F:$AU,AC$4,FALSE)</f>
        <v>0</v>
      </c>
      <c r="AD9" s="623">
        <f>VLOOKUP($C9,Master!$F:$AU,AD$4,FALSE)</f>
        <v>15000</v>
      </c>
      <c r="AE9" s="623">
        <f>VLOOKUP($C9,Master!$F:$AU,AE$4,FALSE)</f>
        <v>0</v>
      </c>
      <c r="AF9" s="623">
        <f>VLOOKUP($C9,Master!$F:$AU,AF$4,FALSE)</f>
        <v>0</v>
      </c>
      <c r="AG9" s="623">
        <f>VLOOKUP($C9,Master!$F:$AU,AG$4,FALSE)</f>
        <v>0</v>
      </c>
      <c r="AH9" s="623">
        <f>VLOOKUP($C9,Master!$F:$AU,AH$4,FALSE)</f>
        <v>0</v>
      </c>
      <c r="AI9" s="626">
        <f>VLOOKUP($C9,Master!$F:$AU,AI$4,FALSE)</f>
        <v>15000</v>
      </c>
      <c r="AJ9" s="407" t="str">
        <f>VLOOKUP($C9,Master!$F:$AU,AJ$4,FALSE)</f>
        <v>Standard Chartered Bank</v>
      </c>
      <c r="AK9" s="407" t="str">
        <f>VLOOKUP($C9,Master!$F:$AU,AK$4,FALSE)</f>
        <v>01994613601</v>
      </c>
      <c r="AL9" s="404">
        <f>VLOOKUP($C9,Master!$F:$AU,AL$4,FALSE)</f>
        <v>0</v>
      </c>
      <c r="AM9" s="620" t="str">
        <f>VLOOKUP($C9,Master!$F:$AU,AM$4,FALSE)</f>
        <v>Muhammad Farooq</v>
      </c>
      <c r="AN9" s="623">
        <f>VLOOKUP($C9,Master!$F:$AU,AN$4,FALSE)</f>
        <v>0</v>
      </c>
      <c r="AO9" s="623">
        <f>VLOOKUP($C9,Master!$F:$AU,AO$4,FALSE)</f>
        <v>0</v>
      </c>
      <c r="AP9" s="623">
        <f>VLOOKUP($C9,Master!$F:$AU,AP$4,FALSE)</f>
        <v>0</v>
      </c>
      <c r="AQ9" s="623">
        <f>VLOOKUP($C9,Master!$F:$AU,AQ$4,FALSE)</f>
        <v>15000</v>
      </c>
      <c r="AR9" s="623">
        <f>VLOOKUP($C9,Master!$F:$AU,AR$4,FALSE)</f>
        <v>0</v>
      </c>
      <c r="AS9" s="624">
        <f>VLOOKUP($C9,Master!$F:$AU,AS$4,FALSE)</f>
        <v>15000</v>
      </c>
      <c r="AT9" s="623">
        <f>VLOOKUP($C9,Master!$F:$AU,AT$4,FALSE)</f>
        <v>0</v>
      </c>
      <c r="AU9" s="623">
        <f>VLOOKUP($C9,Master!$F:$AU,AU$4,FALSE)</f>
        <v>15000</v>
      </c>
      <c r="AW9" s="675"/>
      <c r="AX9" s="631">
        <f>+Master!$K$1</f>
        <v>276</v>
      </c>
      <c r="AY9" s="632">
        <f t="shared" si="0"/>
        <v>54.347826086956523</v>
      </c>
    </row>
    <row r="10" spans="1:53" s="617" customFormat="1" ht="60" customHeight="1" x14ac:dyDescent="0.3">
      <c r="B10" s="618">
        <v>5</v>
      </c>
      <c r="C10" s="618">
        <v>144</v>
      </c>
      <c r="D10" s="630">
        <f>_xlfn.XLOOKUP(C10,Master[Emp Code],Master[date of last increment])</f>
        <v>43738</v>
      </c>
      <c r="E10" s="618">
        <f>_xlfn.XLOOKUP(C10,Master[Emp Code],Master[[last incremnet ]])</f>
        <v>5000</v>
      </c>
      <c r="F10" s="618">
        <f>_xlfn.XLOOKUP(C10,Master[Emp Code],Master['# Months Since Last Increment])</f>
        <v>7</v>
      </c>
      <c r="G10" s="619" t="str">
        <f>VLOOKUP($C10,Master!$F:$AU,G$4,FALSE)</f>
        <v>Apr 2023</v>
      </c>
      <c r="H10" s="618" t="str">
        <f>VLOOKUP($C10,Master!$F:$AU,H$4,FALSE)</f>
        <v>CT</v>
      </c>
      <c r="I10" s="406" t="str">
        <f>VLOOKUP($C10,Master!$F:$AU,I$4,FALSE)</f>
        <v>Salman</v>
      </c>
      <c r="J10" s="620" t="str">
        <f>VLOOKUP($C10,Master!$F:$AU,J$4,FALSE)</f>
        <v>Administration</v>
      </c>
      <c r="K10" s="620" t="str">
        <f>VLOOKUP($C10,Master!$F:$AU,K$4,FALSE)</f>
        <v>Office Boy</v>
      </c>
      <c r="L10" s="620" t="str">
        <f>VLOOKUP($C10,Master!$F:$AU,L$4,FALSE)</f>
        <v>Mubashir</v>
      </c>
      <c r="M10" s="620" t="str">
        <f>VLOOKUP($C10,Master!$F:$AU,M$4,FALSE)</f>
        <v>ALL</v>
      </c>
      <c r="N10" s="620" t="str">
        <f>VLOOKUP($C10,Master!$F:$AU,N$4,FALSE)</f>
        <v>ALL</v>
      </c>
      <c r="O10" s="618" t="str">
        <f>VLOOKUP($C10,Master!$F:$AU,O$4,FALSE)</f>
        <v>P</v>
      </c>
      <c r="P10" s="623">
        <f>VLOOKUP($C10,Master!$F:$AU,P$4,FALSE)</f>
        <v>25000</v>
      </c>
      <c r="Q10" s="623">
        <f>VLOOKUP($C10,Master!$F:$AU,Q$4,FALSE)</f>
        <v>15625</v>
      </c>
      <c r="R10" s="623">
        <f>VLOOKUP($C10,Master!$F:$AU,R$4,FALSE)</f>
        <v>6250</v>
      </c>
      <c r="S10" s="623">
        <f>VLOOKUP($C10,Master!$F:$AU,S$4,FALSE)</f>
        <v>1562.5</v>
      </c>
      <c r="T10" s="623">
        <f>VLOOKUP($C10,Master!$F:$AU,T$4,FALSE)</f>
        <v>1562.5</v>
      </c>
      <c r="U10" s="623">
        <f>VLOOKUP($C10,Master!$F:$AU,U$4,FALSE)</f>
        <v>25000</v>
      </c>
      <c r="V10" s="624">
        <f>VLOOKUP($C10,Master!$F:$AU,V$4,FALSE)</f>
        <v>0</v>
      </c>
      <c r="W10" s="623">
        <f>VLOOKUP($C10,Master!$F:$AU,W$4,FALSE)</f>
        <v>0</v>
      </c>
      <c r="X10" s="623">
        <f>VLOOKUP($C10,Master!$F:$AU,X$4,FALSE)</f>
        <v>0</v>
      </c>
      <c r="Y10" s="623">
        <f>VLOOKUP($C10,Master!$F:$AU,Y$4,FALSE)</f>
        <v>0</v>
      </c>
      <c r="Z10" s="623">
        <f>VLOOKUP($C10,Master!$F:$AU,Z$4,FALSE)</f>
        <v>0</v>
      </c>
      <c r="AA10" s="625">
        <f>VLOOKUP($C10,Master!$F:$AU,AA$4,FALSE)</f>
        <v>146.19883040935673</v>
      </c>
      <c r="AB10" s="625">
        <f>VLOOKUP($C10,Master!$F:$AU,AB$4,FALSE)</f>
        <v>0</v>
      </c>
      <c r="AC10" s="625">
        <f>VLOOKUP($C10,Master!$F:$AU,AC$4,FALSE)</f>
        <v>0</v>
      </c>
      <c r="AD10" s="623">
        <f>VLOOKUP($C10,Master!$F:$AU,AD$4,FALSE)</f>
        <v>25000</v>
      </c>
      <c r="AE10" s="623">
        <f>VLOOKUP($C10,Master!$F:$AU,AE$4,FALSE)</f>
        <v>0</v>
      </c>
      <c r="AF10" s="623">
        <f>VLOOKUP($C10,Master!$F:$AU,AF$4,FALSE)</f>
        <v>0</v>
      </c>
      <c r="AG10" s="623">
        <f>VLOOKUP($C10,Master!$F:$AU,AG$4,FALSE)</f>
        <v>3000</v>
      </c>
      <c r="AH10" s="623">
        <f>VLOOKUP($C10,Master!$F:$AU,AH$4,FALSE)</f>
        <v>0</v>
      </c>
      <c r="AI10" s="626">
        <f>VLOOKUP($C10,Master!$F:$AU,AI$4,FALSE)</f>
        <v>22000</v>
      </c>
      <c r="AJ10" s="407" t="str">
        <f>VLOOKUP($C10,Master!$F:$AU,AJ$4,FALSE)</f>
        <v>Habib Bank Limited</v>
      </c>
      <c r="AK10" s="407" t="str">
        <f>VLOOKUP($C10,Master!$F:$AU,AK$4,FALSE)</f>
        <v>0017-79008173-03</v>
      </c>
      <c r="AL10" s="404">
        <f>VLOOKUP($C10,Master!$F:$AU,AL$4,FALSE)</f>
        <v>0</v>
      </c>
      <c r="AM10" s="620" t="str">
        <f>VLOOKUP($C10,Master!$F:$AU,AM$4,FALSE)</f>
        <v>Amanullah</v>
      </c>
      <c r="AN10" s="623">
        <f>VLOOKUP($C10,Master!$F:$AU,AN$4,FALSE)</f>
        <v>0</v>
      </c>
      <c r="AO10" s="623">
        <f>VLOOKUP($C10,Master!$F:$AU,AO$4,FALSE)</f>
        <v>0</v>
      </c>
      <c r="AP10" s="623">
        <f>VLOOKUP($C10,Master!$F:$AU,AP$4,FALSE)</f>
        <v>0</v>
      </c>
      <c r="AQ10" s="623">
        <f>VLOOKUP($C10,Master!$F:$AU,AQ$4,FALSE)</f>
        <v>0</v>
      </c>
      <c r="AR10" s="623">
        <f>VLOOKUP($C10,Master!$F:$AU,AR$4,FALSE)</f>
        <v>22000</v>
      </c>
      <c r="AS10" s="624">
        <f>VLOOKUP($C10,Master!$F:$AU,AS$4,FALSE)</f>
        <v>22000</v>
      </c>
      <c r="AT10" s="623">
        <f>VLOOKUP($C10,Master!$F:$AU,AT$4,FALSE)</f>
        <v>0</v>
      </c>
      <c r="AU10" s="623">
        <f>VLOOKUP($C10,Master!$F:$AU,AU$4,FALSE)</f>
        <v>22000</v>
      </c>
      <c r="AW10" s="675"/>
      <c r="AX10" s="631">
        <f>+Master!$K$1</f>
        <v>276</v>
      </c>
      <c r="AY10" s="632">
        <f t="shared" si="0"/>
        <v>90.579710144927532</v>
      </c>
    </row>
    <row r="11" spans="1:53" s="617" customFormat="1" ht="60" customHeight="1" x14ac:dyDescent="0.3">
      <c r="B11" s="618">
        <v>6</v>
      </c>
      <c r="C11" s="618">
        <v>176</v>
      </c>
      <c r="D11" s="630">
        <f>_xlfn.XLOOKUP(C11,Master[Emp Code],Master[date of last increment])</f>
        <v>43738</v>
      </c>
      <c r="E11" s="618">
        <f>_xlfn.XLOOKUP(C11,Master[Emp Code],Master[[last incremnet ]])</f>
        <v>5000</v>
      </c>
      <c r="F11" s="618">
        <f>_xlfn.XLOOKUP(C11,Master[Emp Code],Master['# Months Since Last Increment])</f>
        <v>7</v>
      </c>
      <c r="G11" s="619">
        <f>VLOOKUP($C11,Master!$F:$AU,G$4,FALSE)</f>
        <v>43298</v>
      </c>
      <c r="H11" s="618" t="str">
        <f>VLOOKUP($C11,Master!$F:$AU,H$4,FALSE)</f>
        <v>CT</v>
      </c>
      <c r="I11" s="406" t="str">
        <f>VLOOKUP($C11,Master!$F:$AU,I$4,FALSE)</f>
        <v>Muhammad Irfan</v>
      </c>
      <c r="J11" s="620" t="str">
        <f>VLOOKUP($C11,Master!$F:$AU,J$4,FALSE)</f>
        <v>Administration</v>
      </c>
      <c r="K11" s="620" t="str">
        <f>VLOOKUP($C11,Master!$F:$AU,K$4,FALSE)</f>
        <v>Office Boy</v>
      </c>
      <c r="L11" s="620" t="str">
        <f>VLOOKUP($C11,Master!$F:$AU,L$4,FALSE)</f>
        <v>Mubashir</v>
      </c>
      <c r="M11" s="620" t="str">
        <f>VLOOKUP($C11,Master!$F:$AU,M$4,FALSE)</f>
        <v>ALL</v>
      </c>
      <c r="N11" s="620" t="str">
        <f>VLOOKUP($C11,Master!$F:$AU,N$4,FALSE)</f>
        <v>ALL</v>
      </c>
      <c r="O11" s="618" t="str">
        <f>VLOOKUP($C11,Master!$F:$AU,O$4,FALSE)</f>
        <v>P</v>
      </c>
      <c r="P11" s="623">
        <f>VLOOKUP($C11,Master!$F:$AU,P$4,FALSE)</f>
        <v>30000</v>
      </c>
      <c r="Q11" s="623">
        <f>VLOOKUP($C11,Master!$F:$AU,Q$4,FALSE)</f>
        <v>18750</v>
      </c>
      <c r="R11" s="623">
        <f>VLOOKUP($C11,Master!$F:$AU,R$4,FALSE)</f>
        <v>7500</v>
      </c>
      <c r="S11" s="623">
        <f>VLOOKUP($C11,Master!$F:$AU,S$4,FALSE)</f>
        <v>1875</v>
      </c>
      <c r="T11" s="623">
        <f>VLOOKUP($C11,Master!$F:$AU,T$4,FALSE)</f>
        <v>1875</v>
      </c>
      <c r="U11" s="623">
        <f>VLOOKUP($C11,Master!$F:$AU,U$4,FALSE)</f>
        <v>30000</v>
      </c>
      <c r="V11" s="624">
        <f>VLOOKUP($C11,Master!$F:$AU,V$4,FALSE)</f>
        <v>0</v>
      </c>
      <c r="W11" s="623">
        <f>VLOOKUP($C11,Master!$F:$AU,W$4,FALSE)</f>
        <v>0</v>
      </c>
      <c r="X11" s="623">
        <f>VLOOKUP($C11,Master!$F:$AU,X$4,FALSE)</f>
        <v>0</v>
      </c>
      <c r="Y11" s="623">
        <f>VLOOKUP($C11,Master!$F:$AU,Y$4,FALSE)</f>
        <v>0</v>
      </c>
      <c r="Z11" s="623">
        <f>VLOOKUP($C11,Master!$F:$AU,Z$4,FALSE)</f>
        <v>0</v>
      </c>
      <c r="AA11" s="625">
        <f>VLOOKUP($C11,Master!$F:$AU,AA$4,FALSE)</f>
        <v>175.43859649122808</v>
      </c>
      <c r="AB11" s="625">
        <f>VLOOKUP($C11,Master!$F:$AU,AB$4,FALSE)</f>
        <v>0</v>
      </c>
      <c r="AC11" s="625">
        <f>VLOOKUP($C11,Master!$F:$AU,AC$4,FALSE)</f>
        <v>0</v>
      </c>
      <c r="AD11" s="623">
        <f>VLOOKUP($C11,Master!$F:$AU,AD$4,FALSE)</f>
        <v>30000</v>
      </c>
      <c r="AE11" s="623">
        <f>VLOOKUP($C11,Master!$F:$AU,AE$4,FALSE)</f>
        <v>0</v>
      </c>
      <c r="AF11" s="623">
        <f>VLOOKUP($C11,Master!$F:$AU,AF$4,FALSE)</f>
        <v>0</v>
      </c>
      <c r="AG11" s="623">
        <f>VLOOKUP($C11,Master!$F:$AU,AG$4,FALSE)</f>
        <v>0</v>
      </c>
      <c r="AH11" s="623">
        <f>VLOOKUP($C11,Master!$F:$AU,AH$4,FALSE)</f>
        <v>0</v>
      </c>
      <c r="AI11" s="626">
        <f>VLOOKUP($C11,Master!$F:$AU,AI$4,FALSE)</f>
        <v>30000</v>
      </c>
      <c r="AJ11" s="407">
        <f>VLOOKUP($C11,Master!$F:$AU,AJ$4,FALSE)</f>
        <v>0</v>
      </c>
      <c r="AK11" s="407">
        <f>VLOOKUP($C11,Master!$F:$AU,AK$4,FALSE)</f>
        <v>0</v>
      </c>
      <c r="AL11" s="404">
        <f>VLOOKUP($C11,Master!$F:$AU,AL$4,FALSE)</f>
        <v>0</v>
      </c>
      <c r="AM11" s="620" t="str">
        <f>VLOOKUP($C11,Master!$F:$AU,AM$4,FALSE)</f>
        <v>Amanullah</v>
      </c>
      <c r="AN11" s="623">
        <f>VLOOKUP($C11,Master!$F:$AU,AN$4,FALSE)</f>
        <v>0</v>
      </c>
      <c r="AO11" s="623">
        <f>VLOOKUP($C11,Master!$F:$AU,AO$4,FALSE)</f>
        <v>0</v>
      </c>
      <c r="AP11" s="623">
        <f>VLOOKUP($C11,Master!$F:$AU,AP$4,FALSE)</f>
        <v>0</v>
      </c>
      <c r="AQ11" s="623">
        <f>VLOOKUP($C11,Master!$F:$AU,AQ$4,FALSE)</f>
        <v>0</v>
      </c>
      <c r="AR11" s="623">
        <f>VLOOKUP($C11,Master!$F:$AU,AR$4,FALSE)</f>
        <v>30000</v>
      </c>
      <c r="AS11" s="624">
        <f>VLOOKUP($C11,Master!$F:$AU,AS$4,FALSE)</f>
        <v>30000</v>
      </c>
      <c r="AT11" s="623">
        <f>VLOOKUP($C11,Master!$F:$AU,AT$4,FALSE)</f>
        <v>0</v>
      </c>
      <c r="AU11" s="623">
        <f>VLOOKUP($C11,Master!$F:$AU,AU$4,FALSE)</f>
        <v>30000</v>
      </c>
      <c r="AW11" s="675"/>
      <c r="AX11" s="631">
        <f>+Master!$K$1</f>
        <v>276</v>
      </c>
      <c r="AY11" s="632">
        <f t="shared" si="0"/>
        <v>108.69565217391305</v>
      </c>
    </row>
    <row r="12" spans="1:53" s="617" customFormat="1" ht="60" customHeight="1" x14ac:dyDescent="0.3">
      <c r="B12" s="618">
        <v>7</v>
      </c>
      <c r="C12" s="618">
        <v>135</v>
      </c>
      <c r="D12" s="630">
        <f>_xlfn.XLOOKUP(C12,Master[Emp Code],Master[date of last increment])</f>
        <v>43861</v>
      </c>
      <c r="E12" s="618">
        <f>_xlfn.XLOOKUP(C12,Master[Emp Code],Master[[last incremnet ]])</f>
        <v>15000</v>
      </c>
      <c r="F12" s="618">
        <f>_xlfn.XLOOKUP(C12,Master[Emp Code],Master['# Months Since Last Increment])</f>
        <v>3</v>
      </c>
      <c r="G12" s="619">
        <f>VLOOKUP($C12,Master!$F:$AU,G$4,FALSE)</f>
        <v>43524</v>
      </c>
      <c r="H12" s="618" t="str">
        <f>VLOOKUP($C12,Master!$F:$AU,H$4,FALSE)</f>
        <v>CT</v>
      </c>
      <c r="I12" s="406" t="str">
        <f>VLOOKUP($C12,Master!$F:$AU,I$4,FALSE)</f>
        <v>Farhad Muhammad Khan</v>
      </c>
      <c r="J12" s="620" t="str">
        <f>VLOOKUP($C12,Master!$F:$AU,J$4,FALSE)</f>
        <v>IT</v>
      </c>
      <c r="K12" s="620" t="str">
        <f>VLOOKUP($C12,Master!$F:$AU,K$4,FALSE)</f>
        <v xml:space="preserve">Support Engineer </v>
      </c>
      <c r="L12" s="620" t="str">
        <f>VLOOKUP($C12,Master!$F:$AU,L$4,FALSE)</f>
        <v>Wahaj Qureshi</v>
      </c>
      <c r="M12" s="620" t="str">
        <f>VLOOKUP($C12,Master!$F:$AU,M$4,FALSE)</f>
        <v>ALL</v>
      </c>
      <c r="N12" s="620" t="str">
        <f>VLOOKUP($C12,Master!$F:$AU,N$4,FALSE)</f>
        <v>ALL</v>
      </c>
      <c r="O12" s="618" t="str">
        <f>VLOOKUP($C12,Master!$F:$AU,O$4,FALSE)</f>
        <v>P</v>
      </c>
      <c r="P12" s="623">
        <f>VLOOKUP($C12,Master!$F:$AU,P$4,FALSE)</f>
        <v>80000</v>
      </c>
      <c r="Q12" s="623">
        <f>VLOOKUP($C12,Master!$F:$AU,Q$4,FALSE)</f>
        <v>50000</v>
      </c>
      <c r="R12" s="623">
        <f>VLOOKUP($C12,Master!$F:$AU,R$4,FALSE)</f>
        <v>20000</v>
      </c>
      <c r="S12" s="623">
        <f>VLOOKUP($C12,Master!$F:$AU,S$4,FALSE)</f>
        <v>5000</v>
      </c>
      <c r="T12" s="623">
        <f>VLOOKUP($C12,Master!$F:$AU,T$4,FALSE)</f>
        <v>5000</v>
      </c>
      <c r="U12" s="623">
        <f>VLOOKUP($C12,Master!$F:$AU,U$4,FALSE)</f>
        <v>80000</v>
      </c>
      <c r="V12" s="624">
        <f>VLOOKUP($C12,Master!$F:$AU,V$4,FALSE)</f>
        <v>0</v>
      </c>
      <c r="W12" s="623">
        <f>VLOOKUP($C12,Master!$F:$AU,W$4,FALSE)</f>
        <v>0</v>
      </c>
      <c r="X12" s="623">
        <f>VLOOKUP($C12,Master!$F:$AU,X$4,FALSE)</f>
        <v>0</v>
      </c>
      <c r="Y12" s="623">
        <f>VLOOKUP($C12,Master!$F:$AU,Y$4,FALSE)</f>
        <v>0</v>
      </c>
      <c r="Z12" s="623">
        <f>VLOOKUP($C12,Master!$F:$AU,Z$4,FALSE)</f>
        <v>0</v>
      </c>
      <c r="AA12" s="625">
        <f>VLOOKUP($C12,Master!$F:$AU,AA$4,FALSE)</f>
        <v>467.83625730994146</v>
      </c>
      <c r="AB12" s="625">
        <f>VLOOKUP($C12,Master!$F:$AU,AB$4,FALSE)</f>
        <v>0</v>
      </c>
      <c r="AC12" s="669">
        <f>VLOOKUP($C12,Master!$F:$AU,AC$4,FALSE)</f>
        <v>0</v>
      </c>
      <c r="AD12" s="661">
        <f>VLOOKUP($C12,Master!$F:$AU,AD$4,FALSE)</f>
        <v>80000</v>
      </c>
      <c r="AE12" s="661">
        <f>VLOOKUP($C12,Master!$F:$AU,AE$4,FALSE)</f>
        <v>467.8</v>
      </c>
      <c r="AF12" s="661">
        <f>VLOOKUP($C12,Master!$F:$AU,AF$4,FALSE)</f>
        <v>0</v>
      </c>
      <c r="AG12" s="661">
        <f>VLOOKUP($C12,Master!$F:$AU,AG$4,FALSE)</f>
        <v>0</v>
      </c>
      <c r="AH12" s="661">
        <f>VLOOKUP($C12,Master!$F:$AU,AH$4,FALSE)</f>
        <v>0</v>
      </c>
      <c r="AI12" s="677">
        <f>VLOOKUP($C12,Master!$F:$AU,AI$4,FALSE)</f>
        <v>79532.2</v>
      </c>
      <c r="AJ12" s="407" t="str">
        <f>VLOOKUP($C12,Master!$F:$AU,AJ$4,FALSE)</f>
        <v>Meezan Bank Limited</v>
      </c>
      <c r="AK12" s="407" t="str">
        <f>VLOOKUP($C12,Master!$F:$AU,AK$4,FALSE)</f>
        <v>PK40MEZN0099090107351285</v>
      </c>
      <c r="AL12" s="404" t="str">
        <f>VLOOKUP($C12,Master!$F:$AU,AL$4,FALSE)</f>
        <v>42401-0634733-9</v>
      </c>
      <c r="AM12" s="620" t="str">
        <f>VLOOKUP($C12,Master!$F:$AU,AM$4,FALSE)</f>
        <v>Farhad Muhammad Khan</v>
      </c>
      <c r="AN12" s="623">
        <f>VLOOKUP($C12,Master!$F:$AU,AN$4,FALSE)</f>
        <v>0</v>
      </c>
      <c r="AO12" s="623">
        <f>VLOOKUP($C12,Master!$F:$AU,AO$4,FALSE)</f>
        <v>0</v>
      </c>
      <c r="AP12" s="623">
        <f>VLOOKUP($C12,Master!$F:$AU,AP$4,FALSE)</f>
        <v>0</v>
      </c>
      <c r="AQ12" s="623">
        <f>VLOOKUP($C12,Master!$F:$AU,AQ$4,FALSE)</f>
        <v>79532.2</v>
      </c>
      <c r="AR12" s="623">
        <f>VLOOKUP($C12,Master!$F:$AU,AR$4,FALSE)</f>
        <v>0</v>
      </c>
      <c r="AS12" s="624">
        <f>VLOOKUP($C12,Master!$F:$AU,AS$4,FALSE)</f>
        <v>79532.2</v>
      </c>
      <c r="AT12" s="623">
        <f>VLOOKUP($C12,Master!$F:$AU,AT$4,FALSE)</f>
        <v>0</v>
      </c>
      <c r="AU12" s="623">
        <f>VLOOKUP($C12,Master!$F:$AU,AU$4,FALSE)</f>
        <v>79532.2</v>
      </c>
      <c r="AW12" s="675"/>
      <c r="AX12" s="631">
        <f>+Master!$K$1</f>
        <v>276</v>
      </c>
      <c r="AY12" s="632">
        <f t="shared" si="0"/>
        <v>289.85507246376812</v>
      </c>
    </row>
    <row r="13" spans="1:53" s="617" customFormat="1" ht="60" customHeight="1" x14ac:dyDescent="0.3">
      <c r="B13" s="618">
        <v>8</v>
      </c>
      <c r="C13" s="618">
        <v>204</v>
      </c>
      <c r="D13" s="630">
        <f>_xlfn.XLOOKUP(C13,Master[Emp Code],Master[date of last increment])</f>
        <v>0</v>
      </c>
      <c r="E13" s="618">
        <f>_xlfn.XLOOKUP(C13,Master[Emp Code],Master[[last incremnet ]])</f>
        <v>0</v>
      </c>
      <c r="F13" s="618">
        <f>_xlfn.XLOOKUP(C13,Master[Emp Code],Master['# Months Since Last Increment])</f>
        <v>0</v>
      </c>
      <c r="G13" s="619">
        <f>VLOOKUP($C13,Master!$F:$AU,G$4,FALSE)</f>
        <v>43769</v>
      </c>
      <c r="H13" s="618" t="str">
        <f>VLOOKUP($C13,Master!$F:$AU,H$4,FALSE)</f>
        <v>NJ</v>
      </c>
      <c r="I13" s="406" t="str">
        <f>VLOOKUP($C13,Master!$F:$AU,I$4,FALSE)</f>
        <v>Abdul Hadi Ravasia</v>
      </c>
      <c r="J13" s="620" t="str">
        <f>VLOOKUP($C13,Master!$F:$AU,J$4,FALSE)</f>
        <v>Accounts</v>
      </c>
      <c r="K13" s="620" t="str">
        <f>VLOOKUP($C13,Master!$F:$AU,K$4,FALSE)</f>
        <v>Accounts Executive</v>
      </c>
      <c r="L13" s="620" t="str">
        <f>VLOOKUP($C13,Master!$F:$AU,L$4,FALSE)</f>
        <v>Farooq Khan</v>
      </c>
      <c r="M13" s="620" t="str">
        <f>VLOOKUP($C13,Master!$F:$AU,M$4,FALSE)</f>
        <v>ALL</v>
      </c>
      <c r="N13" s="620" t="str">
        <f>VLOOKUP($C13,Master!$F:$AU,N$4,FALSE)</f>
        <v>ALL</v>
      </c>
      <c r="O13" s="618" t="str">
        <f>VLOOKUP($C13,Master!$F:$AU,O$4,FALSE)</f>
        <v>NP</v>
      </c>
      <c r="P13" s="623">
        <f>VLOOKUP($C13,Master!$F:$AU,P$4,FALSE)</f>
        <v>45000</v>
      </c>
      <c r="Q13" s="623">
        <f>VLOOKUP($C13,Master!$F:$AU,Q$4,FALSE)</f>
        <v>28125</v>
      </c>
      <c r="R13" s="623">
        <f>VLOOKUP($C13,Master!$F:$AU,R$4,FALSE)</f>
        <v>11250</v>
      </c>
      <c r="S13" s="623">
        <f>VLOOKUP($C13,Master!$F:$AU,S$4,FALSE)</f>
        <v>2812.5</v>
      </c>
      <c r="T13" s="623">
        <f>VLOOKUP($C13,Master!$F:$AU,T$4,FALSE)</f>
        <v>2812.5</v>
      </c>
      <c r="U13" s="623">
        <f>VLOOKUP($C13,Master!$F:$AU,U$4,FALSE)</f>
        <v>45000</v>
      </c>
      <c r="V13" s="624">
        <f>VLOOKUP($C13,Master!$F:$AU,V$4,FALSE)</f>
        <v>0</v>
      </c>
      <c r="W13" s="623">
        <f>VLOOKUP($C13,Master!$F:$AU,W$4,FALSE)</f>
        <v>0</v>
      </c>
      <c r="X13" s="623">
        <f>VLOOKUP($C13,Master!$F:$AU,X$4,FALSE)</f>
        <v>0</v>
      </c>
      <c r="Y13" s="623">
        <f>VLOOKUP($C13,Master!$F:$AU,Y$4,FALSE)</f>
        <v>0</v>
      </c>
      <c r="Z13" s="623">
        <f>VLOOKUP($C13,Master!$F:$AU,Z$4,FALSE)</f>
        <v>0</v>
      </c>
      <c r="AA13" s="625">
        <f>VLOOKUP($C13,Master!$F:$AU,AA$4,FALSE)</f>
        <v>263.15789473684208</v>
      </c>
      <c r="AB13" s="625">
        <f>VLOOKUP($C13,Master!$F:$AU,AB$4,FALSE)</f>
        <v>0</v>
      </c>
      <c r="AC13" s="625">
        <f>VLOOKUP($C13,Master!$F:$AU,AC$4,FALSE)</f>
        <v>0</v>
      </c>
      <c r="AD13" s="623">
        <f>VLOOKUP($C13,Master!$F:$AU,AD$4,FALSE)</f>
        <v>45000</v>
      </c>
      <c r="AE13" s="623">
        <f>VLOOKUP($C13,Master!$F:$AU,AE$4,FALSE)</f>
        <v>0</v>
      </c>
      <c r="AF13" s="623">
        <f>VLOOKUP($C13,Master!$F:$AU,AF$4,FALSE)</f>
        <v>0</v>
      </c>
      <c r="AG13" s="623">
        <f>VLOOKUP($C13,Master!$F:$AU,AG$4,FALSE)</f>
        <v>10000</v>
      </c>
      <c r="AH13" s="623">
        <f>VLOOKUP($C13,Master!$F:$AU,AH$4,FALSE)</f>
        <v>0</v>
      </c>
      <c r="AI13" s="626">
        <f>VLOOKUP($C13,Master!$F:$AU,AI$4,FALSE)</f>
        <v>35000</v>
      </c>
      <c r="AJ13" s="407" t="str">
        <f>VLOOKUP($C13,Master!$F:$AU,AJ$4,FALSE)</f>
        <v>Meezan Bank Limited</v>
      </c>
      <c r="AK13" s="407" t="str">
        <f>VLOOKUP($C13,Master!$F:$AU,AK$4,FALSE)</f>
        <v>PK88MEZN0099180107164710</v>
      </c>
      <c r="AL13" s="404" t="str">
        <f>VLOOKUP($C13,Master!$F:$AU,AL$4,FALSE)</f>
        <v>42101-0956661-3</v>
      </c>
      <c r="AM13" s="620" t="str">
        <f>VLOOKUP($C13,Master!$F:$AU,AM$4,FALSE)</f>
        <v>ABDUL HADI RAVASIA</v>
      </c>
      <c r="AN13" s="623">
        <f>VLOOKUP($C13,Master!$F:$AU,AN$4,FALSE)</f>
        <v>0</v>
      </c>
      <c r="AO13" s="623">
        <f>VLOOKUP($C13,Master!$F:$AU,AO$4,FALSE)</f>
        <v>0</v>
      </c>
      <c r="AP13" s="623">
        <f>VLOOKUP($C13,Master!$F:$AU,AP$4,FALSE)</f>
        <v>0</v>
      </c>
      <c r="AQ13" s="623">
        <f>VLOOKUP($C13,Master!$F:$AU,AQ$4,FALSE)</f>
        <v>35000</v>
      </c>
      <c r="AR13" s="623">
        <f>VLOOKUP($C13,Master!$F:$AU,AR$4,FALSE)</f>
        <v>0</v>
      </c>
      <c r="AS13" s="624">
        <f>VLOOKUP($C13,Master!$F:$AU,AS$4,FALSE)</f>
        <v>35000</v>
      </c>
      <c r="AT13" s="623">
        <f>VLOOKUP($C13,Master!$F:$AU,AT$4,FALSE)</f>
        <v>0</v>
      </c>
      <c r="AU13" s="623">
        <f>VLOOKUP($C13,Master!$F:$AU,AU$4,FALSE)</f>
        <v>35000</v>
      </c>
      <c r="AW13" s="675"/>
      <c r="AX13" s="631">
        <f>+Master!$K$1</f>
        <v>276</v>
      </c>
      <c r="AY13" s="632">
        <f t="shared" si="0"/>
        <v>163.04347826086956</v>
      </c>
    </row>
    <row r="14" spans="1:53" s="617" customFormat="1" ht="60" customHeight="1" x14ac:dyDescent="0.3">
      <c r="B14" s="618">
        <v>9</v>
      </c>
      <c r="C14" s="618">
        <v>223</v>
      </c>
      <c r="D14" s="630">
        <f>_xlfn.XLOOKUP(C14,Master[Emp Code],Master[date of last increment])</f>
        <v>0</v>
      </c>
      <c r="E14" s="618">
        <f>_xlfn.XLOOKUP(C14,Master[Emp Code],Master[[last incremnet ]])</f>
        <v>0</v>
      </c>
      <c r="F14" s="618">
        <f>_xlfn.XLOOKUP(C14,Master[Emp Code],Master['# Months Since Last Increment])</f>
        <v>0</v>
      </c>
      <c r="G14" s="619">
        <f>VLOOKUP($C14,Master!$F:$AU,G$4,FALSE)</f>
        <v>43866</v>
      </c>
      <c r="H14" s="618">
        <f>VLOOKUP($C14,Master!$F:$AU,H$4,FALSE)</f>
        <v>0</v>
      </c>
      <c r="I14" s="406" t="str">
        <f>VLOOKUP($C14,Master!$F:$AU,I$4,FALSE)</f>
        <v>Arsalan Ahmed</v>
      </c>
      <c r="J14" s="620" t="str">
        <f>VLOOKUP($C14,Master!$F:$AU,J$4,FALSE)</f>
        <v>HR</v>
      </c>
      <c r="K14" s="620">
        <f>VLOOKUP($C14,Master!$F:$AU,K$4,FALSE)</f>
        <v>0</v>
      </c>
      <c r="L14" s="620" t="str">
        <f>VLOOKUP($C14,Master!$F:$AU,L$4,FALSE)</f>
        <v>Wahaj Qureshi</v>
      </c>
      <c r="M14" s="620" t="str">
        <f>VLOOKUP($C14,Master!$F:$AU,M$4,FALSE)</f>
        <v>ALL</v>
      </c>
      <c r="N14" s="620" t="str">
        <f>VLOOKUP($C14,Master!$F:$AU,N$4,FALSE)</f>
        <v>ALL</v>
      </c>
      <c r="O14" s="618" t="str">
        <f>VLOOKUP($C14,Master!$F:$AU,O$4,FALSE)</f>
        <v>NP</v>
      </c>
      <c r="P14" s="623">
        <f>VLOOKUP($C14,Master!$F:$AU,P$4,FALSE)</f>
        <v>50000</v>
      </c>
      <c r="Q14" s="623">
        <f>VLOOKUP($C14,Master!$F:$AU,Q$4,FALSE)</f>
        <v>31250</v>
      </c>
      <c r="R14" s="623">
        <f>VLOOKUP($C14,Master!$F:$AU,R$4,FALSE)</f>
        <v>12500</v>
      </c>
      <c r="S14" s="623">
        <f>VLOOKUP($C14,Master!$F:$AU,S$4,FALSE)</f>
        <v>3125</v>
      </c>
      <c r="T14" s="623">
        <f>VLOOKUP($C14,Master!$F:$AU,T$4,FALSE)</f>
        <v>3125</v>
      </c>
      <c r="U14" s="623">
        <f>VLOOKUP($C14,Master!$F:$AU,U$4,FALSE)</f>
        <v>50000</v>
      </c>
      <c r="V14" s="624">
        <f>VLOOKUP($C14,Master!$F:$AU,V$4,FALSE)</f>
        <v>0</v>
      </c>
      <c r="W14" s="623">
        <f>VLOOKUP($C14,Master!$F:$AU,W$4,FALSE)</f>
        <v>0</v>
      </c>
      <c r="X14" s="623">
        <f>VLOOKUP($C14,Master!$F:$AU,X$4,FALSE)</f>
        <v>0</v>
      </c>
      <c r="Y14" s="623">
        <f>VLOOKUP($C14,Master!$F:$AU,Y$4,FALSE)</f>
        <v>1</v>
      </c>
      <c r="Z14" s="623">
        <f>VLOOKUP($C14,Master!$F:$AU,Z$4,FALSE)</f>
        <v>2631.5789473684213</v>
      </c>
      <c r="AA14" s="625">
        <f>VLOOKUP($C14,Master!$F:$AU,AA$4,FALSE)</f>
        <v>292.39766081871346</v>
      </c>
      <c r="AB14" s="625">
        <f>VLOOKUP($C14,Master!$F:$AU,AB$4,FALSE)</f>
        <v>0</v>
      </c>
      <c r="AC14" s="625">
        <f>VLOOKUP($C14,Master!$F:$AU,AC$4,FALSE)</f>
        <v>0</v>
      </c>
      <c r="AD14" s="623">
        <f>VLOOKUP($C14,Master!$F:$AU,AD$4,FALSE)</f>
        <v>47368.42105263158</v>
      </c>
      <c r="AE14" s="623">
        <f>VLOOKUP($C14,Master!$F:$AU,AE$4,FALSE)</f>
        <v>0</v>
      </c>
      <c r="AF14" s="623">
        <f>VLOOKUP($C14,Master!$F:$AU,AF$4,FALSE)</f>
        <v>0</v>
      </c>
      <c r="AG14" s="623">
        <f>VLOOKUP($C14,Master!$F:$AU,AG$4,FALSE)</f>
        <v>0</v>
      </c>
      <c r="AH14" s="623">
        <f>VLOOKUP($C14,Master!$F:$AU,AH$4,FALSE)</f>
        <v>5000</v>
      </c>
      <c r="AI14" s="626">
        <f>VLOOKUP($C14,Master!$F:$AU,AI$4,FALSE)</f>
        <v>42368.42105263158</v>
      </c>
      <c r="AJ14" s="407" t="str">
        <f>VLOOKUP($C14,Master!$F:$AU,AJ$4,FALSE)</f>
        <v>Dubai Islamic Bank</v>
      </c>
      <c r="AK14" s="407" t="str">
        <f>VLOOKUP($C14,Master!$F:$AU,AK$4,FALSE)</f>
        <v>PK30DUIB0000000808360001</v>
      </c>
      <c r="AL14" s="404" t="str">
        <f>VLOOKUP($C14,Master!$F:$AU,AL$4,FALSE)</f>
        <v>42101-6288236-7</v>
      </c>
      <c r="AM14" s="620" t="str">
        <f>VLOOKUP($C14,Master!$F:$AU,AM$4,FALSE)</f>
        <v>Arsalan Ahmed</v>
      </c>
      <c r="AN14" s="623">
        <f>VLOOKUP($C14,Master!$F:$AU,AN$4,FALSE)</f>
        <v>0</v>
      </c>
      <c r="AO14" s="623">
        <f>VLOOKUP($C14,Master!$F:$AU,AO$4,FALSE)</f>
        <v>0</v>
      </c>
      <c r="AP14" s="623">
        <f>VLOOKUP($C14,Master!$F:$AU,AP$4,FALSE)</f>
        <v>0</v>
      </c>
      <c r="AQ14" s="623">
        <f>VLOOKUP($C14,Master!$F:$AU,AQ$4,FALSE)</f>
        <v>42368.42105263158</v>
      </c>
      <c r="AR14" s="623">
        <f>VLOOKUP($C14,Master!$F:$AU,AR$4,FALSE)</f>
        <v>0</v>
      </c>
      <c r="AS14" s="624">
        <f>VLOOKUP($C14,Master!$F:$AU,AS$4,FALSE)</f>
        <v>42368.42105263158</v>
      </c>
      <c r="AT14" s="623">
        <f>VLOOKUP($C14,Master!$F:$AU,AT$4,FALSE)</f>
        <v>0</v>
      </c>
      <c r="AU14" s="623">
        <f>VLOOKUP($C14,Master!$F:$AU,AU$4,FALSE)</f>
        <v>42368.42105263158</v>
      </c>
      <c r="AW14" s="675"/>
      <c r="AX14" s="631">
        <f>+Master!$K$1</f>
        <v>276</v>
      </c>
      <c r="AY14" s="632">
        <f t="shared" ref="AY14" si="1">+AD14/AX14</f>
        <v>171.62471395881008</v>
      </c>
    </row>
    <row r="15" spans="1:53" s="617" customFormat="1" ht="60" customHeight="1" x14ac:dyDescent="0.3">
      <c r="B15" s="618">
        <v>10</v>
      </c>
      <c r="C15" s="618">
        <v>164</v>
      </c>
      <c r="D15" s="630">
        <f>_xlfn.XLOOKUP(C15,Master[Emp Code],Master[date of last increment])</f>
        <v>0</v>
      </c>
      <c r="E15" s="618">
        <f>_xlfn.XLOOKUP(C15,Master[Emp Code],Master[[last incremnet ]])</f>
        <v>0</v>
      </c>
      <c r="F15" s="618">
        <f>_xlfn.XLOOKUP(C15,Master[Emp Code],Master['# Months Since Last Increment])</f>
        <v>0</v>
      </c>
      <c r="G15" s="619">
        <f>VLOOKUP($C15,Master!$F:$AU,G$4,FALSE)</f>
        <v>0</v>
      </c>
      <c r="H15" s="618">
        <f>VLOOKUP($C15,Master!$F:$AU,H$4,FALSE)</f>
        <v>0</v>
      </c>
      <c r="I15" s="406" t="str">
        <f>VLOOKUP($C15,Master!$F:$AU,I$4,FALSE)</f>
        <v>Hareem Fatima</v>
      </c>
      <c r="J15" s="620" t="str">
        <f>VLOOKUP($C15,Master!$F:$AU,J$4,FALSE)</f>
        <v>HR</v>
      </c>
      <c r="K15" s="620">
        <f>VLOOKUP($C15,Master!$F:$AU,K$4,FALSE)</f>
        <v>0</v>
      </c>
      <c r="L15" s="620" t="str">
        <f>VLOOKUP($C15,Master!$F:$AU,L$4,FALSE)</f>
        <v>Wahaj Qureshi</v>
      </c>
      <c r="M15" s="620" t="str">
        <f>VLOOKUP($C15,Master!$F:$AU,M$4,FALSE)</f>
        <v>ALL</v>
      </c>
      <c r="N15" s="620" t="str">
        <f>VLOOKUP($C15,Master!$F:$AU,N$4,FALSE)</f>
        <v>ALL</v>
      </c>
      <c r="O15" s="618" t="str">
        <f>VLOOKUP($C15,Master!$F:$AU,O$4,FALSE)</f>
        <v>P</v>
      </c>
      <c r="P15" s="623">
        <f>VLOOKUP($C15,Master!$F:$AU,P$4,FALSE)</f>
        <v>50000</v>
      </c>
      <c r="Q15" s="623">
        <f>VLOOKUP($C15,Master!$F:$AU,Q$4,FALSE)</f>
        <v>31250</v>
      </c>
      <c r="R15" s="623">
        <f>VLOOKUP($C15,Master!$F:$AU,R$4,FALSE)</f>
        <v>12500</v>
      </c>
      <c r="S15" s="623">
        <f>VLOOKUP($C15,Master!$F:$AU,S$4,FALSE)</f>
        <v>3125</v>
      </c>
      <c r="T15" s="623">
        <f>VLOOKUP($C15,Master!$F:$AU,T$4,FALSE)</f>
        <v>3125</v>
      </c>
      <c r="U15" s="623">
        <f>VLOOKUP($C15,Master!$F:$AU,U$4,FALSE)</f>
        <v>50000</v>
      </c>
      <c r="V15" s="624">
        <f>VLOOKUP($C15,Master!$F:$AU,V$4,FALSE)</f>
        <v>0</v>
      </c>
      <c r="W15" s="623">
        <f>VLOOKUP($C15,Master!$F:$AU,W$4,FALSE)</f>
        <v>0</v>
      </c>
      <c r="X15" s="623">
        <f>VLOOKUP($C15,Master!$F:$AU,X$4,FALSE)</f>
        <v>0</v>
      </c>
      <c r="Y15" s="623">
        <f>VLOOKUP($C15,Master!$F:$AU,Y$4,FALSE)</f>
        <v>16</v>
      </c>
      <c r="Z15" s="623">
        <f>VLOOKUP($C15,Master!$F:$AU,Z$4,FALSE)</f>
        <v>42105.26315789474</v>
      </c>
      <c r="AA15" s="625">
        <f>VLOOKUP($C15,Master!$F:$AU,AA$4,FALSE)</f>
        <v>292.39766081871346</v>
      </c>
      <c r="AB15" s="625">
        <f>VLOOKUP($C15,Master!$F:$AU,AB$4,FALSE)</f>
        <v>0</v>
      </c>
      <c r="AC15" s="625">
        <f>VLOOKUP($C15,Master!$F:$AU,AC$4,FALSE)</f>
        <v>0</v>
      </c>
      <c r="AD15" s="623">
        <f>VLOOKUP($C15,Master!$F:$AU,AD$4,FALSE)</f>
        <v>7894.7368421052597</v>
      </c>
      <c r="AE15" s="623">
        <f>VLOOKUP($C15,Master!$F:$AU,AE$4,FALSE)</f>
        <v>0</v>
      </c>
      <c r="AF15" s="623">
        <f>VLOOKUP($C15,Master!$F:$AU,AF$4,FALSE)</f>
        <v>250</v>
      </c>
      <c r="AG15" s="623">
        <f>VLOOKUP($C15,Master!$F:$AU,AG$4,FALSE)</f>
        <v>0</v>
      </c>
      <c r="AH15" s="623">
        <f>VLOOKUP($C15,Master!$F:$AU,AH$4,FALSE)</f>
        <v>0</v>
      </c>
      <c r="AI15" s="626">
        <f>VLOOKUP($C15,Master!$F:$AU,AI$4,FALSE)</f>
        <v>7644.7368421052597</v>
      </c>
      <c r="AJ15" s="407" t="str">
        <f>VLOOKUP($C15,Master!$F:$AU,AJ$4,FALSE)</f>
        <v>Habib Bank Limited</v>
      </c>
      <c r="AK15" s="407" t="str">
        <f>VLOOKUP($C15,Master!$F:$AU,AK$4,FALSE)</f>
        <v>0017-79009306-03</v>
      </c>
      <c r="AL15" s="404" t="str">
        <f>VLOOKUP($C15,Master!$F:$AU,AL$4,FALSE)</f>
        <v>42201-75434755-2</v>
      </c>
      <c r="AM15" s="620" t="str">
        <f>VLOOKUP($C15,Master!$F:$AU,AM$4,FALSE)</f>
        <v>Hareem Fatima</v>
      </c>
      <c r="AN15" s="623">
        <f>VLOOKUP($C15,Master!$F:$AU,AN$4,FALSE)</f>
        <v>7644.7368421052597</v>
      </c>
      <c r="AO15" s="623">
        <f>VLOOKUP($C15,Master!$F:$AU,AO$4,FALSE)</f>
        <v>0</v>
      </c>
      <c r="AP15" s="623">
        <f>VLOOKUP($C15,Master!$F:$AU,AP$4,FALSE)</f>
        <v>0</v>
      </c>
      <c r="AQ15" s="623">
        <f>VLOOKUP($C15,Master!$F:$AU,AQ$4,FALSE)</f>
        <v>0</v>
      </c>
      <c r="AR15" s="623">
        <f>VLOOKUP($C15,Master!$F:$AU,AR$4,FALSE)</f>
        <v>0</v>
      </c>
      <c r="AS15" s="624">
        <f>VLOOKUP($C15,Master!$F:$AU,AS$4,FALSE)</f>
        <v>7644.7368421052597</v>
      </c>
      <c r="AT15" s="623">
        <f>VLOOKUP($C15,Master!$F:$AU,AT$4,FALSE)</f>
        <v>0</v>
      </c>
      <c r="AU15" s="623">
        <f>VLOOKUP($C15,Master!$F:$AU,AU$4,FALSE)</f>
        <v>7644.7368421052597</v>
      </c>
      <c r="AW15" s="675"/>
      <c r="AX15" s="631">
        <f>+Master!$K$1</f>
        <v>276</v>
      </c>
      <c r="AY15" s="632">
        <f t="shared" ref="AY15" si="2">+AD15/AX15</f>
        <v>28.604118993135</v>
      </c>
    </row>
    <row r="16" spans="1:53" s="617" customFormat="1" ht="60" customHeight="1" x14ac:dyDescent="0.3">
      <c r="B16" s="618"/>
      <c r="C16" s="618"/>
      <c r="D16" s="618"/>
      <c r="E16" s="618"/>
      <c r="F16" s="618"/>
      <c r="G16" s="619"/>
      <c r="H16" s="618"/>
      <c r="I16" s="620"/>
      <c r="J16" s="620"/>
      <c r="K16" s="620"/>
      <c r="L16" s="620"/>
      <c r="M16" s="620"/>
      <c r="N16" s="620"/>
      <c r="O16" s="618"/>
      <c r="P16" s="623"/>
      <c r="Q16" s="623"/>
      <c r="R16" s="623"/>
      <c r="S16" s="623"/>
      <c r="T16" s="623"/>
      <c r="U16" s="623"/>
      <c r="V16" s="624"/>
      <c r="W16" s="623"/>
      <c r="X16" s="623"/>
      <c r="Y16" s="623"/>
      <c r="Z16" s="623"/>
      <c r="AA16" s="625"/>
      <c r="AB16" s="625"/>
      <c r="AC16" s="669"/>
      <c r="AD16" s="661"/>
      <c r="AE16" s="661"/>
      <c r="AF16" s="661"/>
      <c r="AG16" s="661"/>
      <c r="AH16" s="661"/>
      <c r="AI16" s="677"/>
      <c r="AJ16" s="623"/>
      <c r="AK16" s="623"/>
      <c r="AL16" s="628"/>
      <c r="AM16" s="620"/>
      <c r="AN16" s="623"/>
      <c r="AO16" s="623"/>
      <c r="AP16" s="623"/>
      <c r="AQ16" s="623"/>
      <c r="AR16" s="623"/>
      <c r="AS16" s="624"/>
      <c r="AT16" s="623"/>
      <c r="AU16" s="623"/>
      <c r="AW16" s="675"/>
      <c r="AX16" s="631"/>
      <c r="AY16" s="632"/>
    </row>
    <row r="17" spans="1:52" s="671" customFormat="1" ht="60" customHeight="1" thickBot="1" x14ac:dyDescent="0.35">
      <c r="B17" s="636"/>
      <c r="C17" s="678"/>
      <c r="D17" s="678"/>
      <c r="E17" s="678"/>
      <c r="F17" s="678"/>
      <c r="G17" s="679"/>
      <c r="H17" s="678"/>
      <c r="I17" s="638"/>
      <c r="J17" s="638"/>
      <c r="K17" s="638"/>
      <c r="L17" s="638"/>
      <c r="M17" s="638"/>
      <c r="N17" s="638"/>
      <c r="O17" s="636"/>
      <c r="P17" s="668">
        <f t="shared" ref="P17:AI17" si="3">SUM(P6:P16)</f>
        <v>657000</v>
      </c>
      <c r="Q17" s="668">
        <f t="shared" si="3"/>
        <v>410625</v>
      </c>
      <c r="R17" s="668">
        <f t="shared" si="3"/>
        <v>164250</v>
      </c>
      <c r="S17" s="668">
        <f t="shared" si="3"/>
        <v>41062.5</v>
      </c>
      <c r="T17" s="668">
        <f t="shared" si="3"/>
        <v>41062.5</v>
      </c>
      <c r="U17" s="668">
        <f t="shared" si="3"/>
        <v>657000</v>
      </c>
      <c r="V17" s="668">
        <f t="shared" si="3"/>
        <v>0</v>
      </c>
      <c r="W17" s="668">
        <f t="shared" si="3"/>
        <v>0</v>
      </c>
      <c r="X17" s="668">
        <f t="shared" si="3"/>
        <v>0</v>
      </c>
      <c r="Y17" s="668">
        <f t="shared" si="3"/>
        <v>17</v>
      </c>
      <c r="Z17" s="668">
        <f t="shared" si="3"/>
        <v>44736.84210526316</v>
      </c>
      <c r="AA17" s="668">
        <f t="shared" si="3"/>
        <v>3842.105263157895</v>
      </c>
      <c r="AB17" s="668">
        <f t="shared" si="3"/>
        <v>0</v>
      </c>
      <c r="AC17" s="668">
        <f t="shared" si="3"/>
        <v>0</v>
      </c>
      <c r="AD17" s="668">
        <f t="shared" si="3"/>
        <v>612263.15789473685</v>
      </c>
      <c r="AE17" s="668">
        <f t="shared" si="3"/>
        <v>5274.2</v>
      </c>
      <c r="AF17" s="668">
        <f t="shared" si="3"/>
        <v>750</v>
      </c>
      <c r="AG17" s="668">
        <f t="shared" si="3"/>
        <v>17000</v>
      </c>
      <c r="AH17" s="668">
        <f t="shared" si="3"/>
        <v>10000</v>
      </c>
      <c r="AI17" s="668">
        <f t="shared" si="3"/>
        <v>579238.9578947369</v>
      </c>
      <c r="AJ17" s="680"/>
      <c r="AK17" s="680"/>
      <c r="AL17" s="680"/>
      <c r="AM17" s="680"/>
      <c r="AN17" s="668">
        <f t="shared" ref="AN17:AU17" si="4">SUM(AN6:AN16)</f>
        <v>305338.73684210528</v>
      </c>
      <c r="AO17" s="668">
        <f t="shared" si="4"/>
        <v>0</v>
      </c>
      <c r="AP17" s="668">
        <f t="shared" si="4"/>
        <v>0</v>
      </c>
      <c r="AQ17" s="668">
        <f t="shared" si="4"/>
        <v>221900.62105263158</v>
      </c>
      <c r="AR17" s="668">
        <f t="shared" si="4"/>
        <v>52000</v>
      </c>
      <c r="AS17" s="668">
        <f t="shared" si="4"/>
        <v>579239.35789473681</v>
      </c>
      <c r="AT17" s="668">
        <f t="shared" si="4"/>
        <v>0</v>
      </c>
      <c r="AU17" s="668">
        <f t="shared" si="4"/>
        <v>579239.35789473681</v>
      </c>
      <c r="AW17" s="675"/>
      <c r="AY17" s="681">
        <f>SUM(AY6:AY16)</f>
        <v>2218.3447749809307</v>
      </c>
    </row>
    <row r="18" spans="1:52" s="387" customFormat="1" ht="28.2" customHeight="1" thickTop="1" x14ac:dyDescent="0.3">
      <c r="B18" s="408"/>
      <c r="C18" s="411"/>
      <c r="D18" s="411"/>
      <c r="E18" s="411"/>
      <c r="F18" s="411"/>
      <c r="G18" s="412"/>
      <c r="H18" s="411"/>
      <c r="I18" s="413"/>
      <c r="J18" s="414"/>
      <c r="K18" s="414"/>
      <c r="L18" s="414"/>
      <c r="M18" s="414"/>
      <c r="N18" s="414"/>
      <c r="O18" s="413"/>
      <c r="P18" s="410"/>
      <c r="Q18" s="410"/>
      <c r="R18" s="410"/>
      <c r="S18" s="410"/>
      <c r="T18" s="410"/>
      <c r="U18" s="410"/>
      <c r="V18" s="410"/>
      <c r="W18" s="410"/>
      <c r="X18" s="410"/>
      <c r="Y18" s="410"/>
      <c r="Z18" s="410"/>
      <c r="AA18" s="410"/>
      <c r="AB18" s="410"/>
      <c r="AC18" s="410"/>
      <c r="AD18" s="410"/>
      <c r="AE18" s="410"/>
      <c r="AF18" s="410"/>
      <c r="AG18" s="410"/>
      <c r="AH18" s="410"/>
      <c r="AI18" s="410"/>
      <c r="AJ18" s="410"/>
      <c r="AK18" s="410"/>
      <c r="AL18" s="410"/>
      <c r="AM18" s="410"/>
      <c r="AN18" s="410"/>
      <c r="AO18" s="410"/>
      <c r="AP18" s="410"/>
      <c r="AQ18" s="410"/>
      <c r="AR18" s="410"/>
      <c r="AS18" s="410"/>
      <c r="AT18" s="410"/>
      <c r="AU18" s="410"/>
    </row>
    <row r="19" spans="1:52" ht="28.2" customHeight="1" x14ac:dyDescent="0.3">
      <c r="B19" s="415"/>
      <c r="J19" s="390"/>
      <c r="K19" s="390"/>
      <c r="L19" s="390"/>
      <c r="M19" s="398"/>
      <c r="N19" s="398"/>
      <c r="P19" s="416"/>
      <c r="Q19" s="417"/>
      <c r="R19" s="417"/>
      <c r="S19" s="417"/>
      <c r="T19" s="417"/>
      <c r="U19" s="416"/>
      <c r="V19" s="418"/>
      <c r="W19" s="417"/>
      <c r="X19" s="417"/>
      <c r="Y19" s="417"/>
      <c r="Z19" s="416"/>
      <c r="AA19" s="416"/>
      <c r="AB19" s="417"/>
      <c r="AC19" s="416"/>
      <c r="AD19" s="416"/>
      <c r="AE19" s="416"/>
      <c r="AF19" s="416"/>
      <c r="AG19" s="416"/>
      <c r="AH19" s="416"/>
      <c r="AI19" s="416"/>
      <c r="AJ19" s="416"/>
      <c r="AK19" s="416"/>
      <c r="AL19" s="416"/>
      <c r="AM19" s="416"/>
      <c r="AN19" s="416"/>
      <c r="AO19" s="416"/>
      <c r="AP19" s="416"/>
      <c r="AQ19" s="416"/>
      <c r="AR19" s="416"/>
      <c r="AS19" s="416"/>
      <c r="AT19" s="416"/>
      <c r="AU19" s="416"/>
      <c r="AV19" s="417"/>
      <c r="AW19" s="417"/>
      <c r="AX19" s="389"/>
    </row>
    <row r="20" spans="1:52" ht="28.2" customHeight="1" x14ac:dyDescent="0.3">
      <c r="B20" s="415"/>
      <c r="J20" s="390"/>
      <c r="K20" s="390"/>
      <c r="L20" s="390"/>
      <c r="M20" s="398"/>
      <c r="N20" s="398"/>
      <c r="P20" s="416"/>
      <c r="Q20" s="417"/>
      <c r="R20" s="417"/>
      <c r="S20" s="417"/>
      <c r="T20" s="417"/>
      <c r="U20" s="416"/>
      <c r="V20" s="418"/>
      <c r="W20" s="417"/>
      <c r="X20" s="417"/>
      <c r="Y20" s="417"/>
      <c r="Z20" s="416"/>
      <c r="AA20" s="416"/>
      <c r="AB20" s="417"/>
      <c r="AC20" s="416"/>
      <c r="AD20" s="416"/>
      <c r="AE20" s="416"/>
      <c r="AF20" s="416"/>
      <c r="AG20" s="416"/>
      <c r="AH20" s="416"/>
      <c r="AI20" s="416"/>
      <c r="AJ20" s="416"/>
      <c r="AK20" s="416"/>
      <c r="AL20" s="416"/>
      <c r="AM20" s="416"/>
      <c r="AN20" s="416"/>
      <c r="AO20" s="416"/>
      <c r="AP20" s="416"/>
      <c r="AQ20" s="416"/>
      <c r="AR20" s="416"/>
      <c r="AS20" s="416"/>
      <c r="AT20" s="416"/>
      <c r="AU20" s="416"/>
      <c r="AV20" s="417"/>
      <c r="AW20" s="417"/>
      <c r="AX20" s="389"/>
    </row>
    <row r="21" spans="1:52" ht="28.2" customHeight="1" x14ac:dyDescent="0.3">
      <c r="B21" s="415"/>
      <c r="C21" s="408"/>
      <c r="D21" s="408"/>
      <c r="E21" s="408"/>
      <c r="F21" s="408"/>
      <c r="G21" s="419"/>
      <c r="H21" s="408"/>
      <c r="I21" s="420"/>
      <c r="J21" s="421"/>
      <c r="K21" s="421"/>
      <c r="L21" s="421"/>
      <c r="M21" s="409"/>
      <c r="N21" s="409"/>
      <c r="O21" s="420"/>
      <c r="P21" s="416"/>
      <c r="Q21" s="417"/>
      <c r="R21" s="417"/>
      <c r="S21" s="417"/>
      <c r="T21" s="417"/>
      <c r="U21" s="416"/>
      <c r="V21" s="418"/>
      <c r="W21" s="417"/>
      <c r="X21" s="417"/>
      <c r="Y21" s="417"/>
      <c r="Z21" s="416"/>
      <c r="AA21" s="416"/>
      <c r="AB21" s="417"/>
      <c r="AC21" s="416"/>
      <c r="AD21" s="416"/>
      <c r="AE21" s="416"/>
      <c r="AF21" s="416"/>
      <c r="AG21" s="416"/>
      <c r="AH21" s="416"/>
      <c r="AI21" s="416"/>
      <c r="AJ21" s="416"/>
      <c r="AK21" s="416"/>
      <c r="AL21" s="416"/>
      <c r="AM21" s="416"/>
      <c r="AN21" s="416"/>
      <c r="AO21" s="416"/>
      <c r="AP21" s="416"/>
      <c r="AQ21" s="416"/>
      <c r="AR21" s="416"/>
      <c r="AS21" s="416"/>
      <c r="AT21" s="416"/>
      <c r="AU21" s="416"/>
      <c r="AV21" s="422"/>
      <c r="AW21" s="422"/>
      <c r="AX21" s="389"/>
    </row>
    <row r="22" spans="1:52" ht="28.2" customHeight="1" x14ac:dyDescent="0.35">
      <c r="B22" s="417"/>
      <c r="J22" s="390"/>
      <c r="K22" s="390"/>
      <c r="L22" s="390"/>
      <c r="M22" s="423"/>
      <c r="N22" s="423"/>
      <c r="P22" s="614"/>
      <c r="Q22" s="417"/>
      <c r="R22" s="417"/>
      <c r="S22" s="417"/>
      <c r="T22" s="417"/>
      <c r="U22" s="614"/>
      <c r="V22" s="418"/>
      <c r="W22" s="417"/>
      <c r="X22" s="417"/>
      <c r="Y22" s="417"/>
      <c r="Z22" s="614"/>
      <c r="AA22" s="614"/>
      <c r="AB22" s="417"/>
      <c r="AC22" s="614"/>
      <c r="AD22" s="614"/>
      <c r="AE22" s="614"/>
      <c r="AF22" s="614"/>
      <c r="AG22" s="614"/>
      <c r="AH22" s="614"/>
      <c r="AI22" s="614"/>
      <c r="AJ22" s="614"/>
      <c r="AK22" s="614"/>
      <c r="AL22" s="614"/>
      <c r="AM22" s="614"/>
      <c r="AN22" s="614"/>
      <c r="AO22" s="614"/>
      <c r="AP22" s="614"/>
      <c r="AQ22" s="614"/>
      <c r="AR22" s="614"/>
      <c r="AS22" s="614"/>
      <c r="AT22" s="614"/>
      <c r="AU22" s="614"/>
      <c r="AV22" s="417"/>
      <c r="AW22" s="417"/>
      <c r="AX22" s="389"/>
    </row>
    <row r="23" spans="1:52" s="394" customFormat="1" ht="28.2" customHeight="1" x14ac:dyDescent="0.35">
      <c r="A23" s="388"/>
      <c r="B23" s="388"/>
      <c r="C23" s="389"/>
      <c r="D23" s="389"/>
      <c r="E23" s="389"/>
      <c r="F23" s="389"/>
      <c r="G23" s="399"/>
      <c r="H23" s="389"/>
      <c r="I23" s="388"/>
      <c r="J23" s="388"/>
      <c r="K23" s="388"/>
      <c r="L23" s="388"/>
      <c r="M23" s="424"/>
      <c r="N23" s="424"/>
      <c r="O23" s="388"/>
      <c r="P23" s="417"/>
      <c r="Q23" s="417"/>
      <c r="R23" s="417"/>
      <c r="S23" s="417"/>
      <c r="T23" s="417"/>
      <c r="U23" s="417"/>
      <c r="V23" s="418"/>
      <c r="W23" s="417"/>
      <c r="X23" s="417"/>
      <c r="Y23" s="417"/>
      <c r="Z23" s="417"/>
      <c r="AA23" s="417"/>
      <c r="AB23" s="417"/>
      <c r="AC23" s="417"/>
      <c r="AD23" s="417"/>
      <c r="AE23" s="417"/>
      <c r="AF23" s="417"/>
      <c r="AG23" s="417"/>
      <c r="AH23" s="417"/>
      <c r="AI23" s="417"/>
      <c r="AJ23" s="417"/>
      <c r="AK23" s="417"/>
      <c r="AL23" s="417"/>
      <c r="AM23" s="417"/>
      <c r="AN23" s="417"/>
      <c r="AO23" s="417"/>
      <c r="AP23" s="417"/>
      <c r="AQ23" s="417"/>
      <c r="AR23" s="417"/>
      <c r="AS23" s="417"/>
      <c r="AT23" s="417"/>
      <c r="AU23" s="417"/>
      <c r="AV23" s="418"/>
      <c r="AW23" s="418"/>
      <c r="AX23" s="418"/>
      <c r="AY23" s="418"/>
      <c r="AZ23" s="418"/>
    </row>
    <row r="24" spans="1:52" s="394" customFormat="1" ht="28.2" customHeight="1" x14ac:dyDescent="0.35">
      <c r="A24" s="388"/>
      <c r="B24" s="388"/>
      <c r="C24" s="389"/>
      <c r="D24" s="389"/>
      <c r="E24" s="389"/>
      <c r="F24" s="389"/>
      <c r="G24" s="399"/>
      <c r="H24" s="389"/>
      <c r="I24" s="388"/>
      <c r="J24" s="388"/>
      <c r="K24" s="388"/>
      <c r="L24" s="388"/>
      <c r="M24" s="424"/>
      <c r="N24" s="424"/>
      <c r="O24" s="388"/>
      <c r="P24" s="417"/>
      <c r="Q24" s="417"/>
      <c r="R24" s="417"/>
      <c r="S24" s="417"/>
      <c r="T24" s="417"/>
      <c r="U24" s="417"/>
      <c r="V24" s="418"/>
      <c r="W24" s="417"/>
      <c r="X24" s="417"/>
      <c r="Y24" s="417"/>
      <c r="Z24" s="417"/>
      <c r="AA24" s="417"/>
      <c r="AB24" s="417"/>
      <c r="AC24" s="417"/>
      <c r="AD24" s="417"/>
      <c r="AE24" s="417"/>
      <c r="AF24" s="417"/>
      <c r="AG24" s="417"/>
      <c r="AH24" s="417"/>
      <c r="AI24" s="417"/>
      <c r="AJ24" s="417"/>
      <c r="AK24" s="417"/>
      <c r="AL24" s="417"/>
      <c r="AM24" s="417"/>
      <c r="AN24" s="417"/>
      <c r="AO24" s="417"/>
      <c r="AP24" s="417"/>
      <c r="AQ24" s="417"/>
      <c r="AR24" s="417"/>
      <c r="AS24" s="417"/>
      <c r="AT24" s="417"/>
      <c r="AU24" s="417"/>
      <c r="AV24" s="418"/>
      <c r="AW24" s="418"/>
      <c r="AX24" s="418"/>
      <c r="AY24" s="418"/>
      <c r="AZ24" s="418"/>
    </row>
    <row r="25" spans="1:52" s="394" customFormat="1" ht="28.2" customHeight="1" x14ac:dyDescent="0.35">
      <c r="A25" s="388"/>
      <c r="B25" s="388"/>
      <c r="C25" s="389"/>
      <c r="D25" s="389"/>
      <c r="E25" s="389"/>
      <c r="F25" s="389"/>
      <c r="G25" s="399"/>
      <c r="H25" s="389"/>
      <c r="I25" s="388"/>
      <c r="J25" s="388"/>
      <c r="K25" s="388"/>
      <c r="L25" s="388"/>
      <c r="M25" s="424"/>
      <c r="N25" s="424"/>
      <c r="O25" s="388"/>
      <c r="P25" s="417"/>
      <c r="Q25" s="417"/>
      <c r="R25" s="417"/>
      <c r="S25" s="417"/>
      <c r="T25" s="417"/>
      <c r="U25" s="417"/>
      <c r="V25" s="418"/>
      <c r="W25" s="417"/>
      <c r="X25" s="417"/>
      <c r="Y25" s="417"/>
      <c r="Z25" s="417"/>
      <c r="AA25" s="417"/>
      <c r="AB25" s="417"/>
      <c r="AC25" s="417"/>
      <c r="AD25" s="417"/>
      <c r="AE25" s="417"/>
      <c r="AF25" s="417"/>
      <c r="AG25" s="417"/>
      <c r="AH25" s="417"/>
      <c r="AI25" s="417"/>
      <c r="AJ25" s="417"/>
      <c r="AK25" s="417"/>
      <c r="AL25" s="417"/>
      <c r="AM25" s="417"/>
      <c r="AN25" s="417"/>
      <c r="AO25" s="417"/>
      <c r="AP25" s="417"/>
      <c r="AQ25" s="417"/>
      <c r="AR25" s="417"/>
      <c r="AS25" s="417"/>
      <c r="AT25" s="417"/>
      <c r="AU25" s="417"/>
      <c r="AV25" s="418"/>
      <c r="AW25" s="418"/>
      <c r="AX25" s="418"/>
      <c r="AY25" s="418"/>
      <c r="AZ25" s="418"/>
    </row>
    <row r="26" spans="1:52" s="394" customFormat="1" ht="28.2" customHeight="1" x14ac:dyDescent="0.35">
      <c r="A26" s="388"/>
      <c r="B26" s="388"/>
      <c r="C26" s="389"/>
      <c r="D26" s="389"/>
      <c r="E26" s="389"/>
      <c r="F26" s="389"/>
      <c r="G26" s="399"/>
      <c r="H26" s="389"/>
      <c r="I26" s="388"/>
      <c r="J26" s="388"/>
      <c r="K26" s="388"/>
      <c r="L26" s="388"/>
      <c r="M26" s="424"/>
      <c r="N26" s="424"/>
      <c r="O26" s="388"/>
      <c r="P26" s="417"/>
      <c r="Q26" s="417"/>
      <c r="R26" s="417"/>
      <c r="S26" s="417"/>
      <c r="T26" s="417"/>
      <c r="U26" s="417"/>
      <c r="V26" s="418"/>
      <c r="W26" s="417"/>
      <c r="X26" s="417"/>
      <c r="Y26" s="417"/>
      <c r="Z26" s="417"/>
      <c r="AA26" s="417"/>
      <c r="AB26" s="417"/>
      <c r="AC26" s="417"/>
      <c r="AD26" s="417"/>
      <c r="AE26" s="417"/>
      <c r="AF26" s="417"/>
      <c r="AG26" s="417"/>
      <c r="AH26" s="417"/>
      <c r="AI26" s="417"/>
      <c r="AJ26" s="417"/>
      <c r="AK26" s="417"/>
      <c r="AL26" s="417"/>
      <c r="AM26" s="417"/>
      <c r="AN26" s="417"/>
      <c r="AO26" s="417"/>
      <c r="AP26" s="417"/>
      <c r="AQ26" s="417"/>
      <c r="AR26" s="417"/>
      <c r="AS26" s="417"/>
      <c r="AT26" s="417"/>
      <c r="AU26" s="417"/>
      <c r="AV26" s="418"/>
      <c r="AW26" s="418"/>
      <c r="AX26" s="418"/>
      <c r="AY26" s="418"/>
      <c r="AZ26" s="418"/>
    </row>
    <row r="27" spans="1:52" s="394" customFormat="1" ht="28.2" customHeight="1" x14ac:dyDescent="0.35">
      <c r="A27" s="388"/>
      <c r="B27" s="388"/>
      <c r="C27" s="389"/>
      <c r="D27" s="389"/>
      <c r="E27" s="389"/>
      <c r="F27" s="389"/>
      <c r="G27" s="399"/>
      <c r="H27" s="389"/>
      <c r="I27" s="388"/>
      <c r="J27" s="388"/>
      <c r="K27" s="388"/>
      <c r="L27" s="388"/>
      <c r="M27" s="424"/>
      <c r="N27" s="424"/>
      <c r="O27" s="388"/>
      <c r="P27" s="417"/>
      <c r="Q27" s="417"/>
      <c r="R27" s="417"/>
      <c r="S27" s="417"/>
      <c r="T27" s="417"/>
      <c r="U27" s="417"/>
      <c r="V27" s="418"/>
      <c r="W27" s="417"/>
      <c r="X27" s="417"/>
      <c r="Y27" s="417"/>
      <c r="Z27" s="417"/>
      <c r="AA27" s="417"/>
      <c r="AB27" s="417"/>
      <c r="AC27" s="417"/>
      <c r="AD27" s="417"/>
      <c r="AE27" s="417"/>
      <c r="AF27" s="417"/>
      <c r="AG27" s="417"/>
      <c r="AH27" s="417"/>
      <c r="AI27" s="417"/>
      <c r="AJ27" s="417"/>
      <c r="AK27" s="417"/>
      <c r="AL27" s="417"/>
      <c r="AM27" s="417"/>
      <c r="AN27" s="417"/>
      <c r="AO27" s="417"/>
      <c r="AP27" s="417"/>
      <c r="AQ27" s="417"/>
      <c r="AR27" s="417"/>
      <c r="AS27" s="417"/>
      <c r="AT27" s="417"/>
      <c r="AU27" s="417"/>
      <c r="AV27" s="418"/>
      <c r="AW27" s="418"/>
      <c r="AX27" s="418"/>
      <c r="AY27" s="418"/>
      <c r="AZ27" s="418"/>
    </row>
    <row r="28" spans="1:52" s="394" customFormat="1" ht="28.2" customHeight="1" x14ac:dyDescent="0.35">
      <c r="A28" s="388"/>
      <c r="B28" s="388"/>
      <c r="C28" s="389"/>
      <c r="D28" s="389"/>
      <c r="E28" s="389"/>
      <c r="F28" s="389"/>
      <c r="G28" s="399"/>
      <c r="H28" s="389"/>
      <c r="I28" s="388"/>
      <c r="J28" s="388"/>
      <c r="K28" s="388"/>
      <c r="L28" s="388"/>
      <c r="M28" s="424"/>
      <c r="N28" s="424"/>
      <c r="O28" s="388"/>
      <c r="P28" s="393"/>
      <c r="Q28" s="393"/>
      <c r="R28" s="393"/>
      <c r="S28" s="393"/>
      <c r="T28" s="393"/>
      <c r="U28" s="393"/>
      <c r="W28" s="393"/>
      <c r="X28" s="393"/>
      <c r="Y28" s="393"/>
      <c r="Z28" s="393"/>
      <c r="AA28" s="393"/>
      <c r="AB28" s="393"/>
      <c r="AC28" s="393"/>
      <c r="AD28" s="393"/>
      <c r="AE28" s="393"/>
      <c r="AF28" s="393"/>
      <c r="AG28" s="393"/>
      <c r="AH28" s="393"/>
      <c r="AI28" s="393"/>
      <c r="AJ28" s="393"/>
      <c r="AK28" s="393"/>
      <c r="AL28" s="393"/>
      <c r="AM28" s="393"/>
      <c r="AN28" s="393"/>
      <c r="AO28" s="393"/>
      <c r="AP28" s="393"/>
      <c r="AQ28" s="393"/>
      <c r="AR28" s="393"/>
      <c r="AS28" s="393"/>
      <c r="AT28" s="393"/>
      <c r="AU28" s="393"/>
    </row>
    <row r="29" spans="1:52" s="394" customFormat="1" ht="28.2" customHeight="1" x14ac:dyDescent="0.35">
      <c r="A29" s="388"/>
      <c r="B29" s="388"/>
      <c r="C29" s="389"/>
      <c r="D29" s="389"/>
      <c r="E29" s="389"/>
      <c r="F29" s="389"/>
      <c r="G29" s="399"/>
      <c r="H29" s="389"/>
      <c r="I29" s="388"/>
      <c r="J29" s="388"/>
      <c r="K29" s="388"/>
      <c r="L29" s="388"/>
      <c r="M29" s="424"/>
      <c r="N29" s="424"/>
      <c r="O29" s="388"/>
      <c r="P29" s="393"/>
      <c r="Q29" s="393"/>
      <c r="R29" s="393"/>
      <c r="S29" s="393"/>
      <c r="T29" s="393"/>
      <c r="U29" s="393"/>
      <c r="W29" s="393"/>
      <c r="X29" s="393"/>
      <c r="Y29" s="393"/>
      <c r="Z29" s="393"/>
      <c r="AA29" s="393"/>
      <c r="AB29" s="393"/>
      <c r="AC29" s="393"/>
      <c r="AD29" s="393"/>
      <c r="AE29" s="393"/>
      <c r="AF29" s="393"/>
      <c r="AG29" s="393"/>
      <c r="AH29" s="393"/>
      <c r="AI29" s="393"/>
      <c r="AJ29" s="393"/>
      <c r="AK29" s="393"/>
      <c r="AL29" s="393"/>
      <c r="AM29" s="393"/>
      <c r="AN29" s="393"/>
      <c r="AO29" s="393"/>
      <c r="AP29" s="393"/>
      <c r="AQ29" s="393"/>
      <c r="AR29" s="393"/>
      <c r="AS29" s="393"/>
      <c r="AT29" s="393"/>
      <c r="AU29" s="393"/>
    </row>
    <row r="30" spans="1:52" s="394" customFormat="1" ht="28.2" customHeight="1" x14ac:dyDescent="0.35">
      <c r="A30" s="388"/>
      <c r="B30" s="388"/>
      <c r="C30" s="389"/>
      <c r="D30" s="389"/>
      <c r="E30" s="389"/>
      <c r="F30" s="389"/>
      <c r="G30" s="399"/>
      <c r="H30" s="389"/>
      <c r="I30" s="388"/>
      <c r="J30" s="388"/>
      <c r="K30" s="388"/>
      <c r="L30" s="388"/>
      <c r="M30" s="424"/>
      <c r="N30" s="424"/>
      <c r="O30" s="388"/>
      <c r="P30" s="393"/>
      <c r="Q30" s="393"/>
      <c r="R30" s="393"/>
      <c r="S30" s="393"/>
      <c r="T30" s="393"/>
      <c r="U30" s="393"/>
      <c r="W30" s="393"/>
      <c r="X30" s="393"/>
      <c r="Y30" s="393"/>
      <c r="Z30" s="393"/>
      <c r="AA30" s="393"/>
      <c r="AB30" s="393"/>
      <c r="AC30" s="393"/>
      <c r="AD30" s="393"/>
      <c r="AE30" s="393"/>
      <c r="AF30" s="393"/>
      <c r="AG30" s="393"/>
      <c r="AH30" s="393"/>
      <c r="AI30" s="393"/>
      <c r="AJ30" s="393"/>
      <c r="AK30" s="393"/>
      <c r="AL30" s="393"/>
      <c r="AM30" s="393"/>
      <c r="AN30" s="393"/>
      <c r="AO30" s="393"/>
      <c r="AP30" s="393"/>
      <c r="AQ30" s="393"/>
      <c r="AR30" s="393"/>
      <c r="AS30" s="393"/>
      <c r="AT30" s="393"/>
      <c r="AU30" s="393"/>
    </row>
    <row r="31" spans="1:52" s="394" customFormat="1" ht="28.2" customHeight="1" x14ac:dyDescent="0.35">
      <c r="A31" s="388"/>
      <c r="B31" s="388"/>
      <c r="C31" s="389"/>
      <c r="D31" s="389"/>
      <c r="E31" s="389"/>
      <c r="F31" s="389"/>
      <c r="G31" s="399"/>
      <c r="H31" s="389"/>
      <c r="I31" s="388"/>
      <c r="J31" s="388"/>
      <c r="K31" s="388"/>
      <c r="L31" s="388"/>
      <c r="M31" s="424"/>
      <c r="N31" s="424"/>
      <c r="O31" s="388"/>
      <c r="P31" s="393"/>
      <c r="Q31" s="393"/>
      <c r="R31" s="393"/>
      <c r="S31" s="393"/>
      <c r="T31" s="393"/>
      <c r="U31" s="393"/>
      <c r="W31" s="393"/>
      <c r="X31" s="393"/>
      <c r="Y31" s="393"/>
      <c r="Z31" s="393"/>
      <c r="AA31" s="393"/>
      <c r="AB31" s="393"/>
      <c r="AC31" s="393"/>
      <c r="AD31" s="393"/>
      <c r="AE31" s="393"/>
      <c r="AF31" s="393"/>
      <c r="AG31" s="393"/>
      <c r="AH31" s="393"/>
      <c r="AI31" s="393"/>
      <c r="AJ31" s="393"/>
      <c r="AK31" s="393"/>
      <c r="AL31" s="393"/>
      <c r="AM31" s="393"/>
      <c r="AN31" s="393"/>
      <c r="AO31" s="393"/>
      <c r="AP31" s="393"/>
      <c r="AQ31" s="393"/>
      <c r="AR31" s="393"/>
      <c r="AS31" s="393"/>
      <c r="AT31" s="393"/>
      <c r="AU31" s="393"/>
    </row>
    <row r="32" spans="1:52" ht="28.2" customHeight="1" x14ac:dyDescent="0.35">
      <c r="M32" s="424"/>
      <c r="N32" s="424"/>
    </row>
    <row r="33" spans="13:14" ht="28.2" customHeight="1" x14ac:dyDescent="0.35">
      <c r="M33" s="424"/>
      <c r="N33" s="424"/>
    </row>
    <row r="34" spans="13:14" ht="28.2" customHeight="1" x14ac:dyDescent="0.35">
      <c r="M34" s="424"/>
      <c r="N34" s="424"/>
    </row>
    <row r="35" spans="13:14" ht="28.2" customHeight="1" x14ac:dyDescent="0.35">
      <c r="M35" s="424"/>
      <c r="N35" s="424"/>
    </row>
    <row r="36" spans="13:14" ht="28.2" customHeight="1" x14ac:dyDescent="0.35">
      <c r="M36" s="424"/>
      <c r="N36" s="424"/>
    </row>
    <row r="37" spans="13:14" ht="28.2" customHeight="1" x14ac:dyDescent="0.35">
      <c r="M37" s="424"/>
      <c r="N37" s="424"/>
    </row>
    <row r="38" spans="13:14" ht="28.2" customHeight="1" x14ac:dyDescent="0.35">
      <c r="M38" s="424"/>
      <c r="N38" s="424"/>
    </row>
    <row r="39" spans="13:14" ht="28.2" customHeight="1" x14ac:dyDescent="0.35">
      <c r="M39" s="424"/>
      <c r="N39" s="424"/>
    </row>
    <row r="40" spans="13:14" ht="28.2" customHeight="1" x14ac:dyDescent="0.35">
      <c r="M40" s="424"/>
      <c r="N40" s="424"/>
    </row>
    <row r="41" spans="13:14" ht="28.2" customHeight="1" x14ac:dyDescent="0.35">
      <c r="M41" s="424"/>
      <c r="N41" s="424"/>
    </row>
    <row r="42" spans="13:14" ht="28.2" customHeight="1" x14ac:dyDescent="0.35">
      <c r="M42" s="424"/>
      <c r="N42" s="424"/>
    </row>
    <row r="43" spans="13:14" ht="28.2" customHeight="1" x14ac:dyDescent="0.35">
      <c r="M43" s="424"/>
      <c r="N43" s="424"/>
    </row>
    <row r="44" spans="13:14" ht="28.2" customHeight="1" x14ac:dyDescent="0.35">
      <c r="M44" s="424"/>
      <c r="N44" s="424"/>
    </row>
    <row r="45" spans="13:14" ht="28.2" customHeight="1" x14ac:dyDescent="0.35">
      <c r="M45" s="424"/>
      <c r="N45" s="424"/>
    </row>
    <row r="46" spans="13:14" ht="28.2" customHeight="1" x14ac:dyDescent="0.35">
      <c r="M46" s="424"/>
      <c r="N46" s="424"/>
    </row>
    <row r="47" spans="13:14" ht="28.2" customHeight="1" x14ac:dyDescent="0.35">
      <c r="M47" s="424"/>
      <c r="N47" s="424"/>
    </row>
    <row r="48" spans="13:14" ht="28.2" customHeight="1" x14ac:dyDescent="0.35">
      <c r="M48" s="424"/>
      <c r="N48" s="424"/>
    </row>
    <row r="49" spans="13:14" ht="28.2" customHeight="1" x14ac:dyDescent="0.35">
      <c r="M49" s="424"/>
      <c r="N49" s="424"/>
    </row>
    <row r="50" spans="13:14" ht="28.2" customHeight="1" x14ac:dyDescent="0.35">
      <c r="M50" s="424"/>
      <c r="N50" s="424"/>
    </row>
    <row r="51" spans="13:14" ht="28.2" customHeight="1" x14ac:dyDescent="0.35">
      <c r="M51" s="424"/>
      <c r="N51" s="424"/>
    </row>
  </sheetData>
  <autoFilter ref="A5:AU17" xr:uid="{0022CE4D-04DF-4EA8-85EB-139AA5A5EFEF}">
    <sortState xmlns:xlrd2="http://schemas.microsoft.com/office/spreadsheetml/2017/richdata2" ref="A6:AU17">
      <sortCondition ref="J5:J17"/>
    </sortState>
  </autoFilter>
  <conditionalFormatting sqref="C2:F2">
    <cfRule type="duplicateValues" dxfId="6" priority="5"/>
  </conditionalFormatting>
  <conditionalFormatting sqref="C19:F22">
    <cfRule type="duplicateValues" dxfId="5" priority="6"/>
  </conditionalFormatting>
  <conditionalFormatting sqref="D6:F15">
    <cfRule type="cellIs" dxfId="4" priority="1" stopIfTrue="1" operator="equal">
      <formula>0</formula>
    </cfRule>
  </conditionalFormatting>
  <conditionalFormatting sqref="G2">
    <cfRule type="duplicateValues" dxfId="3" priority="4"/>
  </conditionalFormatting>
  <pageMargins left="0.21" right="0.25" top="0.46" bottom="0.17" header="0.31" footer="0.17"/>
  <pageSetup paperSize="9" scale="24" fitToHeight="0" orientation="landscape" r:id="rId1"/>
  <headerFooter>
    <oddHeader>&amp;RSUPPORT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F02BA-CC1A-4221-8B5B-48D7879AE6D4}">
  <sheetPr codeName="Sheet4">
    <tabColor rgb="FF92D050"/>
    <pageSetUpPr fitToPage="1"/>
  </sheetPr>
  <dimension ref="A1:AC119"/>
  <sheetViews>
    <sheetView view="pageBreakPreview" zoomScale="80" zoomScaleNormal="90" zoomScaleSheetLayoutView="80" workbookViewId="0">
      <pane xSplit="2" ySplit="4" topLeftCell="F59" activePane="bottomRight" state="frozen"/>
      <selection activeCell="M30" sqref="M30"/>
      <selection pane="topRight" activeCell="M30" sqref="M30"/>
      <selection pane="bottomLeft" activeCell="M30" sqref="M30"/>
      <selection pane="bottomRight" activeCell="AC7" sqref="AC7"/>
    </sheetView>
  </sheetViews>
  <sheetFormatPr defaultColWidth="8.88671875" defaultRowHeight="13.2" x14ac:dyDescent="0.25"/>
  <cols>
    <col min="1" max="1" width="2.6640625" style="1" customWidth="1"/>
    <col min="2" max="2" width="13.5546875" style="1" customWidth="1"/>
    <col min="3" max="3" width="16.88671875" style="1" bestFit="1" customWidth="1"/>
    <col min="4" max="4" width="5.6640625" style="3" bestFit="1" customWidth="1"/>
    <col min="5" max="5" width="8" style="3" bestFit="1" customWidth="1"/>
    <col min="6" max="6" width="7" style="3" bestFit="1" customWidth="1"/>
    <col min="7" max="8" width="11.44140625" style="1" customWidth="1"/>
    <col min="9" max="10" width="11.44140625" style="1" hidden="1" customWidth="1"/>
    <col min="11" max="19" width="11.44140625" style="1" customWidth="1"/>
    <col min="20" max="20" width="11.44140625" style="1" hidden="1" customWidth="1"/>
    <col min="21" max="21" width="9.77734375" style="1" customWidth="1"/>
    <col min="22" max="26" width="11.44140625" style="1" customWidth="1"/>
    <col min="27" max="27" width="9.33203125" style="1" bestFit="1" customWidth="1"/>
    <col min="28" max="28" width="11" style="1" bestFit="1" customWidth="1"/>
    <col min="29" max="29" width="13.44140625" style="1" customWidth="1"/>
    <col min="30" max="16384" width="8.88671875" style="1"/>
  </cols>
  <sheetData>
    <row r="1" spans="2:29" x14ac:dyDescent="0.25">
      <c r="C1" s="2" t="s">
        <v>569</v>
      </c>
      <c r="H1" s="133">
        <f>Master!$K$1</f>
        <v>276</v>
      </c>
      <c r="Z1" s="588">
        <v>43960</v>
      </c>
    </row>
    <row r="2" spans="2:29" ht="13.8" x14ac:dyDescent="0.25">
      <c r="C2" s="37"/>
    </row>
    <row r="3" spans="2:29" s="7" customFormat="1" ht="66" x14ac:dyDescent="0.3">
      <c r="B3" s="761" t="s">
        <v>4</v>
      </c>
      <c r="C3" s="761"/>
      <c r="D3" s="4" t="s">
        <v>86</v>
      </c>
      <c r="E3" s="5" t="s">
        <v>66</v>
      </c>
      <c r="F3" s="5" t="s">
        <v>87</v>
      </c>
      <c r="G3" s="6" t="s">
        <v>170</v>
      </c>
      <c r="H3" s="6" t="s">
        <v>7</v>
      </c>
      <c r="I3" s="6" t="s">
        <v>88</v>
      </c>
      <c r="J3" s="6" t="s">
        <v>15</v>
      </c>
      <c r="K3" s="6" t="s">
        <v>89</v>
      </c>
      <c r="L3" s="6" t="s">
        <v>18</v>
      </c>
      <c r="M3" s="17" t="s">
        <v>19</v>
      </c>
      <c r="N3" s="6" t="s">
        <v>20</v>
      </c>
      <c r="O3" s="6" t="s">
        <v>90</v>
      </c>
      <c r="P3" s="6" t="s">
        <v>160</v>
      </c>
      <c r="Q3" s="6" t="s">
        <v>22</v>
      </c>
      <c r="R3" s="17" t="s">
        <v>23</v>
      </c>
      <c r="S3" s="17" t="s">
        <v>544</v>
      </c>
      <c r="T3" s="17" t="s">
        <v>91</v>
      </c>
      <c r="U3" s="17" t="s">
        <v>92</v>
      </c>
      <c r="V3" s="17" t="s">
        <v>93</v>
      </c>
      <c r="W3" s="17" t="s">
        <v>26</v>
      </c>
      <c r="X3" s="17" t="s">
        <v>556</v>
      </c>
      <c r="Y3" s="17" t="s">
        <v>27</v>
      </c>
      <c r="Z3" s="17" t="s">
        <v>94</v>
      </c>
      <c r="AA3" s="270" t="s">
        <v>401</v>
      </c>
      <c r="AB3" s="270" t="s">
        <v>415</v>
      </c>
      <c r="AC3" s="270" t="s">
        <v>508</v>
      </c>
    </row>
    <row r="4" spans="2:29" x14ac:dyDescent="0.25">
      <c r="B4" s="8"/>
      <c r="C4" s="9"/>
      <c r="D4" s="10"/>
      <c r="E4" s="10"/>
      <c r="F4" s="10"/>
      <c r="G4" s="9"/>
      <c r="H4" s="9"/>
      <c r="I4" s="9"/>
      <c r="J4" s="9"/>
      <c r="K4" s="9"/>
      <c r="L4" s="9"/>
      <c r="M4" s="204"/>
      <c r="N4" s="9"/>
      <c r="O4" s="9"/>
      <c r="P4" s="9"/>
      <c r="Q4" s="9"/>
      <c r="R4" s="204"/>
      <c r="S4" s="9"/>
      <c r="T4" s="9"/>
      <c r="U4" s="9"/>
      <c r="V4" s="9"/>
      <c r="W4" s="9"/>
      <c r="X4" s="204"/>
      <c r="Y4" s="9"/>
      <c r="Z4" s="11"/>
      <c r="AA4" s="271"/>
      <c r="AB4" s="271"/>
      <c r="AC4" s="271"/>
    </row>
    <row r="5" spans="2:29" ht="13.8" x14ac:dyDescent="0.25">
      <c r="B5" s="207" t="s">
        <v>159</v>
      </c>
      <c r="C5" s="208"/>
      <c r="D5" s="209"/>
      <c r="E5" s="209"/>
      <c r="F5" s="209"/>
      <c r="G5" s="37"/>
      <c r="H5" s="37"/>
      <c r="I5" s="37"/>
      <c r="J5" s="37"/>
      <c r="K5" s="37"/>
      <c r="L5" s="37"/>
      <c r="M5" s="210"/>
      <c r="N5" s="37"/>
      <c r="O5" s="37"/>
      <c r="P5" s="37"/>
      <c r="Q5" s="37"/>
      <c r="R5" s="210"/>
      <c r="S5" s="37"/>
      <c r="T5" s="37"/>
      <c r="U5" s="37"/>
      <c r="V5" s="37"/>
      <c r="W5" s="37"/>
      <c r="X5" s="210"/>
      <c r="Y5" s="37"/>
      <c r="Z5" s="211"/>
      <c r="AA5" s="272"/>
      <c r="AB5" s="272"/>
      <c r="AC5" s="272"/>
    </row>
    <row r="6" spans="2:29" ht="13.8" x14ac:dyDescent="0.25">
      <c r="B6" s="212"/>
      <c r="C6" s="37" t="s">
        <v>50</v>
      </c>
      <c r="D6" s="209">
        <f>COUNTIFS(Master!$J$8:$J$55,'Summary Dept Wise'!$C6,Master!$M$8:$M$55,'Summary Dept Wise'!$E6,Master!$N$8:$N$55,'Summary Dept Wise'!$F6)</f>
        <v>3</v>
      </c>
      <c r="E6" s="213" t="s">
        <v>59</v>
      </c>
      <c r="F6" s="213" t="s">
        <v>59</v>
      </c>
      <c r="G6" s="214">
        <f>SUMIFS(Master!$P$8:$P$55,Master!$J$8:$J$55,'Summary Dept Wise'!$C6,Master!$M$8:$M$55,'Summary Dept Wise'!$E6,Master!$N$8:$N$55,'Summary Dept Wise'!$F6)</f>
        <v>377000</v>
      </c>
      <c r="H6" s="214">
        <f>SUMIFS(Master!$U$8:$U$55,Master!$J$8:$J$55,'Summary Dept Wise'!$C6,Master!$M$8:$M$55,'Summary Dept Wise'!$E6,Master!$N$8:$N$55,'Summary Dept Wise'!$F6)</f>
        <v>377000</v>
      </c>
      <c r="I6" s="214">
        <f>SUMIFS(Master!$V$8:$V$55,Master!$J$8:$J$55,'Summary Dept Wise'!$C6,Master!$M$8:$M$55,'Summary Dept Wise'!$E6,Master!$N$8:$N$55,'Summary Dept Wise'!$F6)</f>
        <v>0</v>
      </c>
      <c r="J6" s="214">
        <f>SUMIFS(Master!$X$8:$X$55,Master!$J$8:$J$55,'Summary Dept Wise'!$C6,Master!$M$8:$M$55,'Summary Dept Wise'!$E6,Master!$N$8:$N$55,'Summary Dept Wise'!$F6)</f>
        <v>0</v>
      </c>
      <c r="K6" s="214">
        <f>SUMIFS(Master!$Z$8:$Z$55,Master!$J$8:$J$55,'Summary Dept Wise'!$C6,Master!$M$8:$M$55,'Summary Dept Wise'!$E6,Master!$N$8:$N$55,'Summary Dept Wise'!$F6)</f>
        <v>0</v>
      </c>
      <c r="L6" s="214">
        <f>SUMIFS(Master!AC$8:AC$55,Master!$J$8:$J$55,'Summary Dept Wise'!$C6,Master!$M$8:$M$55,'Summary Dept Wise'!$E6,Master!$N$8:$N$55,'Summary Dept Wise'!$F6)</f>
        <v>0</v>
      </c>
      <c r="M6" s="215">
        <f>SUMIFS(Master!AD$8:AD$55,Master!$J$8:$J$55,'Summary Dept Wise'!$C6,Master!$M$8:$M$55,'Summary Dept Wise'!$E6,Master!$N$8:$N$55,'Summary Dept Wise'!$F6)</f>
        <v>377000</v>
      </c>
      <c r="N6" s="214">
        <f>SUMIFS(Master!AE$8:AE$55,Master!$J$8:$J$55,'Summary Dept Wise'!$C6,Master!$M$8:$M$55,'Summary Dept Wise'!$E6,Master!$N$8:$N$55,'Summary Dept Wise'!$F6)</f>
        <v>4806.3999999999996</v>
      </c>
      <c r="O6" s="214">
        <f>SUMIFS(Master!AF$8:AF$55,Master!$J$8:$J$55,'Summary Dept Wise'!$C6,Master!$M$8:$M$55,'Summary Dept Wise'!$E6,Master!$N$8:$N$55,'Summary Dept Wise'!$F6)</f>
        <v>500</v>
      </c>
      <c r="P6" s="214">
        <f>SUMIFS(Master!AG$8:AG$55,Master!$J$8:$J$55,'Summary Dept Wise'!$C6,Master!$M$8:$M$55,'Summary Dept Wise'!$E6,Master!$N$8:$N$55,'Summary Dept Wise'!$F6)</f>
        <v>10000</v>
      </c>
      <c r="Q6" s="214">
        <f>SUMIFS(Master!AH$8:AH$55,Master!$J$8:$J$55,'Summary Dept Wise'!$C6,Master!$M$8:$M$55,'Summary Dept Wise'!$E6,Master!$N$8:$N$55,'Summary Dept Wise'!$F6)</f>
        <v>0</v>
      </c>
      <c r="R6" s="215">
        <f>SUMIFS(Master!AI$8:AI$55,Master!$J$8:$J$55,'Summary Dept Wise'!$C6,Master!$M$8:$M$55,'Summary Dept Wise'!$E6,Master!$N$8:$N$55,'Summary Dept Wise'!$F6)</f>
        <v>361693.6</v>
      </c>
      <c r="S6" s="214">
        <f>SUMIFS(Master!AN$8:AN$55,Master!$J$8:$J$55,'Summary Dept Wise'!$C6,Master!$M$8:$M$55,'Summary Dept Wise'!$E6,Master!$N$8:$N$55,'Summary Dept Wise'!$F6)</f>
        <v>276694</v>
      </c>
      <c r="T6" s="214">
        <f>SUMIFS(Master!AO$8:AO$55,Master!$J$8:$J$55,'Summary Dept Wise'!$C6,Master!$M$8:$M$55,'Summary Dept Wise'!$E6,Master!$N$8:$N$55,'Summary Dept Wise'!$F6)</f>
        <v>0</v>
      </c>
      <c r="U6" s="214">
        <f>SUMIFS(Master!AP$8:AP$55,Master!$J$8:$J$55,'Summary Dept Wise'!$C6,Master!$M$8:$M$55,'Summary Dept Wise'!$E6,Master!$N$8:$N$55,'Summary Dept Wise'!$F6)</f>
        <v>0</v>
      </c>
      <c r="V6" s="214">
        <f>SUMIFS(Master!AQ$8:AQ$55,Master!$J$8:$J$55,'Summary Dept Wise'!$C6,Master!$M$8:$M$55,'Summary Dept Wise'!$E6,Master!$N$8:$N$55,'Summary Dept Wise'!$F6)</f>
        <v>85000</v>
      </c>
      <c r="W6" s="214">
        <f>SUMIFS(Master!AR$8:AR$55,Master!$J$8:$J$55,'Summary Dept Wise'!$C6,Master!$M$8:$M$55,'Summary Dept Wise'!$E6,Master!$N$8:$N$55,'Summary Dept Wise'!$F6)</f>
        <v>0</v>
      </c>
      <c r="X6" s="215">
        <f>SUM(S6:W6)</f>
        <v>361694</v>
      </c>
      <c r="Y6" s="214">
        <f>SUMIFS(Master!AT$8:AT$55,Master!$J$8:$J$55,'Summary Dept Wise'!$C6,Master!$M$8:$M$55,'Summary Dept Wise'!$E6,Master!$N$8:$N$55,'Summary Dept Wise'!$F6)</f>
        <v>0</v>
      </c>
      <c r="Z6" s="216">
        <f>SUM(X6:Y6)</f>
        <v>361694</v>
      </c>
      <c r="AA6" s="273">
        <f>SUMIFS(Master!AI$8:AI$55,Master!$J$8:$J$55,'Summary Dept Wise'!$C6,Master!$M$8:$M$55,'Summary Dept Wise'!$E6,Master!$N$8:$N$55,'Summary Dept Wise'!$F6,Master!$AV$8:$AV$55,"Paid")</f>
        <v>0</v>
      </c>
      <c r="AB6" s="273">
        <f>+Z6-AA6</f>
        <v>361694</v>
      </c>
      <c r="AC6" s="273">
        <f>SUMIFS(Master!BF$8:BF$55,Master!$J$8:$J$55,'Summary Dept Wise'!$C6,Master!$M$8:$M$55,'Summary Dept Wise'!$E6,Master!$N$8:$N$55,'Summary Dept Wise'!$F6)</f>
        <v>0</v>
      </c>
    </row>
    <row r="7" spans="2:29" ht="13.8" x14ac:dyDescent="0.25">
      <c r="B7" s="212"/>
      <c r="C7" s="37" t="s">
        <v>48</v>
      </c>
      <c r="D7" s="209">
        <f>COUNTIFS(Master!$J$8:$J$55,'Summary Dept Wise'!$C7,Master!$M$8:$M$55,'Summary Dept Wise'!$E7,Master!$N$8:$N$55,'Summary Dept Wise'!$F7)</f>
        <v>4</v>
      </c>
      <c r="E7" s="213" t="s">
        <v>59</v>
      </c>
      <c r="F7" s="213" t="s">
        <v>59</v>
      </c>
      <c r="G7" s="214">
        <f>SUMIFS(Master!$P$8:$P$55,Master!$J$8:$J$55,'Summary Dept Wise'!$C7,Master!$M$8:$M$55,'Summary Dept Wise'!$E7,Master!$N$8:$N$55,'Summary Dept Wise'!$F7)</f>
        <v>100000</v>
      </c>
      <c r="H7" s="214">
        <f>SUMIFS(Master!$U$8:$U$55,Master!$J$8:$J$55,'Summary Dept Wise'!$C7,Master!$M$8:$M$55,'Summary Dept Wise'!$E7,Master!$N$8:$N$55,'Summary Dept Wise'!$F7)</f>
        <v>100000</v>
      </c>
      <c r="I7" s="214">
        <f>SUMIFS(Master!$V$8:$V$55,Master!$J$8:$J$55,'Summary Dept Wise'!$C7,Master!$M$8:$M$55,'Summary Dept Wise'!$E7,Master!$N$8:$N$55,'Summary Dept Wise'!$F7)</f>
        <v>0</v>
      </c>
      <c r="J7" s="214">
        <f>SUMIFS(Master!$X$8:$X$55,Master!$J$8:$J$55,'Summary Dept Wise'!$C7,Master!$M$8:$M$55,'Summary Dept Wise'!$E7,Master!$N$8:$N$55,'Summary Dept Wise'!$F7)</f>
        <v>0</v>
      </c>
      <c r="K7" s="214">
        <f>SUMIFS(Master!$Z$8:$Z$55,Master!$J$8:$J$55,'Summary Dept Wise'!$C7,Master!$M$8:$M$55,'Summary Dept Wise'!$E7,Master!$N$8:$N$55,'Summary Dept Wise'!$F7)</f>
        <v>0</v>
      </c>
      <c r="L7" s="214">
        <f>SUMIFS(Master!AC$8:AC$55,Master!$J$8:$J$55,'Summary Dept Wise'!$C7,Master!$M$8:$M$55,'Summary Dept Wise'!$E7,Master!$N$8:$N$55,'Summary Dept Wise'!$F7)</f>
        <v>0</v>
      </c>
      <c r="M7" s="215">
        <f>SUMIFS(Master!AD$8:AD$55,Master!$J$8:$J$55,'Summary Dept Wise'!$C7,Master!$M$8:$M$55,'Summary Dept Wise'!$E7,Master!$N$8:$N$55,'Summary Dept Wise'!$F7)</f>
        <v>100000</v>
      </c>
      <c r="N7" s="214">
        <f>SUMIFS(Master!AE$8:AE$55,Master!$J$8:$J$55,'Summary Dept Wise'!$C7,Master!$M$8:$M$55,'Summary Dept Wise'!$E7,Master!$N$8:$N$55,'Summary Dept Wise'!$F7)</f>
        <v>0</v>
      </c>
      <c r="O7" s="214">
        <f>SUMIFS(Master!AF$8:AF$55,Master!$J$8:$J$55,'Summary Dept Wise'!$C7,Master!$M$8:$M$55,'Summary Dept Wise'!$E7,Master!$N$8:$N$55,'Summary Dept Wise'!$F7)</f>
        <v>0</v>
      </c>
      <c r="P7" s="214">
        <f>SUMIFS(Master!AG$8:AG$55,Master!$J$8:$J$55,'Summary Dept Wise'!$C7,Master!$M$8:$M$55,'Summary Dept Wise'!$E7,Master!$N$8:$N$55,'Summary Dept Wise'!$F7)</f>
        <v>7000</v>
      </c>
      <c r="Q7" s="214">
        <f>SUMIFS(Master!AH$8:AH$55,Master!$J$8:$J$55,'Summary Dept Wise'!$C7,Master!$M$8:$M$55,'Summary Dept Wise'!$E7,Master!$N$8:$N$55,'Summary Dept Wise'!$F7)</f>
        <v>5000</v>
      </c>
      <c r="R7" s="215">
        <f>SUMIFS(Master!AI$8:AI$55,Master!$J$8:$J$55,'Summary Dept Wise'!$C7,Master!$M$8:$M$55,'Summary Dept Wise'!$E7,Master!$N$8:$N$55,'Summary Dept Wise'!$F7)</f>
        <v>88000</v>
      </c>
      <c r="S7" s="214">
        <f>SUMIFS(Master!AN$8:AN$55,Master!$J$8:$J$55,'Summary Dept Wise'!$C7,Master!$M$8:$M$55,'Summary Dept Wise'!$E7,Master!$N$8:$N$55,'Summary Dept Wise'!$F7)</f>
        <v>21000</v>
      </c>
      <c r="T7" s="214">
        <f>SUMIFS(Master!AO$8:AO$55,Master!$J$8:$J$55,'Summary Dept Wise'!$C7,Master!$M$8:$M$55,'Summary Dept Wise'!$E7,Master!$N$8:$N$55,'Summary Dept Wise'!$F7)</f>
        <v>0</v>
      </c>
      <c r="U7" s="214">
        <f>SUMIFS(Master!AP$8:AP$55,Master!$J$8:$J$55,'Summary Dept Wise'!$C7,Master!$M$8:$M$55,'Summary Dept Wise'!$E7,Master!$N$8:$N$55,'Summary Dept Wise'!$F7)</f>
        <v>0</v>
      </c>
      <c r="V7" s="214">
        <f>SUMIFS(Master!AQ$8:AQ$55,Master!$J$8:$J$55,'Summary Dept Wise'!$C7,Master!$M$8:$M$55,'Summary Dept Wise'!$E7,Master!$N$8:$N$55,'Summary Dept Wise'!$F7)</f>
        <v>15000</v>
      </c>
      <c r="W7" s="214">
        <f>SUMIFS(Master!AR$8:AR$55,Master!$J$8:$J$55,'Summary Dept Wise'!$C7,Master!$M$8:$M$55,'Summary Dept Wise'!$E7,Master!$N$8:$N$55,'Summary Dept Wise'!$F7)</f>
        <v>52000</v>
      </c>
      <c r="X7" s="215">
        <f t="shared" ref="X7:X9" si="0">SUM(S7:W7)</f>
        <v>88000</v>
      </c>
      <c r="Y7" s="214">
        <f>SUMIFS(Master!AT$8:AT$55,Master!$J$8:$J$55,'Summary Dept Wise'!$C7,Master!$M$8:$M$55,'Summary Dept Wise'!$E7,Master!$N$8:$N$55,'Summary Dept Wise'!$F7)</f>
        <v>0</v>
      </c>
      <c r="Z7" s="216">
        <f t="shared" ref="Z7:Z9" si="1">SUM(X7:Y7)</f>
        <v>88000</v>
      </c>
      <c r="AA7" s="273">
        <f>SUMIFS(Master!AI$8:AI$55,Master!$J$8:$J$55,'Summary Dept Wise'!$C7,Master!$M$8:$M$55,'Summary Dept Wise'!$E7,Master!$N$8:$N$55,'Summary Dept Wise'!$F7,Master!$AV$8:$AV$55,"Paid")</f>
        <v>73000</v>
      </c>
      <c r="AB7" s="273">
        <f>+Z7-AA7</f>
        <v>15000</v>
      </c>
      <c r="AC7" s="273">
        <f>SUMIFS(Master!BF$8:BF$55,Master!$J$8:$J$55,'Summary Dept Wise'!$C7,Master!$M$8:$M$55,'Summary Dept Wise'!$E7,Master!$N$8:$N$55,'Summary Dept Wise'!$F7)</f>
        <v>0</v>
      </c>
    </row>
    <row r="8" spans="2:29" ht="13.8" x14ac:dyDescent="0.25">
      <c r="B8" s="212"/>
      <c r="C8" s="37" t="s">
        <v>38</v>
      </c>
      <c r="D8" s="209">
        <f>COUNTIFS(Master!$J$8:$J$55,'Summary Dept Wise'!$C8,Master!$M$8:$M$55,'Summary Dept Wise'!$E8,Master!$N$8:$N$55,'Summary Dept Wise'!$F8)</f>
        <v>2</v>
      </c>
      <c r="E8" s="213" t="s">
        <v>59</v>
      </c>
      <c r="F8" s="213" t="s">
        <v>59</v>
      </c>
      <c r="G8" s="214">
        <f>SUMIFS(Master!$P$8:$P$55,Master!$J$8:$J$55,'Summary Dept Wise'!$C8,Master!$M$8:$M$55,'Summary Dept Wise'!$E8,Master!$N$8:$N$55,'Summary Dept Wise'!$F8)</f>
        <v>100000</v>
      </c>
      <c r="H8" s="214">
        <f>SUMIFS(Master!$U$8:$U$55,Master!$J$8:$J$55,'Summary Dept Wise'!$C8,Master!$M$8:$M$55,'Summary Dept Wise'!$E8,Master!$N$8:$N$55,'Summary Dept Wise'!$F8)</f>
        <v>100000</v>
      </c>
      <c r="I8" s="214">
        <f>SUMIFS(Master!$V$8:$V$55,Master!$J$8:$J$55,'Summary Dept Wise'!$C8,Master!$M$8:$M$55,'Summary Dept Wise'!$E8,Master!$N$8:$N$55,'Summary Dept Wise'!$F8)</f>
        <v>0</v>
      </c>
      <c r="J8" s="214">
        <f>SUMIFS(Master!$X$8:$X$55,Master!$J$8:$J$55,'Summary Dept Wise'!$C8,Master!$M$8:$M$55,'Summary Dept Wise'!$E8,Master!$N$8:$N$55,'Summary Dept Wise'!$F8)</f>
        <v>0</v>
      </c>
      <c r="K8" s="214">
        <f>SUMIFS(Master!$Z$8:$Z$55,Master!$J$8:$J$55,'Summary Dept Wise'!$C8,Master!$M$8:$M$55,'Summary Dept Wise'!$E8,Master!$N$8:$N$55,'Summary Dept Wise'!$F8)</f>
        <v>44736.84210526316</v>
      </c>
      <c r="L8" s="214">
        <f>SUMIFS(Master!AC$8:AC$55,Master!$J$8:$J$55,'Summary Dept Wise'!$C8,Master!$M$8:$M$55,'Summary Dept Wise'!$E8,Master!$N$8:$N$55,'Summary Dept Wise'!$F8)</f>
        <v>0</v>
      </c>
      <c r="M8" s="215">
        <f>SUMIFS(Master!AD$8:AD$55,Master!$J$8:$J$55,'Summary Dept Wise'!$C8,Master!$M$8:$M$55,'Summary Dept Wise'!$E8,Master!$N$8:$N$55,'Summary Dept Wise'!$F8)</f>
        <v>55263.15789473684</v>
      </c>
      <c r="N8" s="214">
        <f>SUMIFS(Master!AE$8:AE$55,Master!$J$8:$J$55,'Summary Dept Wise'!$C8,Master!$M$8:$M$55,'Summary Dept Wise'!$E8,Master!$N$8:$N$55,'Summary Dept Wise'!$F8)</f>
        <v>0</v>
      </c>
      <c r="O8" s="214">
        <f>SUMIFS(Master!AF$8:AF$55,Master!$J$8:$J$55,'Summary Dept Wise'!$C8,Master!$M$8:$M$55,'Summary Dept Wise'!$E8,Master!$N$8:$N$55,'Summary Dept Wise'!$F8)</f>
        <v>250</v>
      </c>
      <c r="P8" s="214">
        <f>SUMIFS(Master!AG$8:AG$55,Master!$J$8:$J$55,'Summary Dept Wise'!$C8,Master!$M$8:$M$55,'Summary Dept Wise'!$E8,Master!$N$8:$N$55,'Summary Dept Wise'!$F8)</f>
        <v>0</v>
      </c>
      <c r="Q8" s="214">
        <f>SUMIFS(Master!AH$8:AH$55,Master!$J$8:$J$55,'Summary Dept Wise'!$C8,Master!$M$8:$M$55,'Summary Dept Wise'!$E8,Master!$N$8:$N$55,'Summary Dept Wise'!$F8)</f>
        <v>5000</v>
      </c>
      <c r="R8" s="215">
        <f>SUMIFS(Master!AI$8:AI$55,Master!$J$8:$J$55,'Summary Dept Wise'!$C8,Master!$M$8:$M$55,'Summary Dept Wise'!$E8,Master!$N$8:$N$55,'Summary Dept Wise'!$F8)</f>
        <v>50013.15789473684</v>
      </c>
      <c r="S8" s="214">
        <f>SUMIFS(Master!AN$8:AN$55,Master!$J$8:$J$55,'Summary Dept Wise'!$C8,Master!$M$8:$M$55,'Summary Dept Wise'!$E8,Master!$N$8:$N$55,'Summary Dept Wise'!$F8)</f>
        <v>7644.7368421052597</v>
      </c>
      <c r="T8" s="214">
        <f>SUMIFS(Master!AO$8:AO$55,Master!$J$8:$J$55,'Summary Dept Wise'!$C8,Master!$M$8:$M$55,'Summary Dept Wise'!$E8,Master!$N$8:$N$55,'Summary Dept Wise'!$F8)</f>
        <v>0</v>
      </c>
      <c r="U8" s="214">
        <f>SUMIFS(Master!AP$8:AP$55,Master!$J$8:$J$55,'Summary Dept Wise'!$C8,Master!$M$8:$M$55,'Summary Dept Wise'!$E8,Master!$N$8:$N$55,'Summary Dept Wise'!$F8)</f>
        <v>0</v>
      </c>
      <c r="V8" s="214">
        <f>SUMIFS(Master!AQ$8:AQ$55,Master!$J$8:$J$55,'Summary Dept Wise'!$C8,Master!$M$8:$M$55,'Summary Dept Wise'!$E8,Master!$N$8:$N$55,'Summary Dept Wise'!$F8)</f>
        <v>42368.42105263158</v>
      </c>
      <c r="W8" s="214">
        <f>SUMIFS(Master!AR$8:AR$55,Master!$J$8:$J$55,'Summary Dept Wise'!$C8,Master!$M$8:$M$55,'Summary Dept Wise'!$E8,Master!$N$8:$N$55,'Summary Dept Wise'!$F8)</f>
        <v>0</v>
      </c>
      <c r="X8" s="215">
        <f t="shared" si="0"/>
        <v>50013.15789473684</v>
      </c>
      <c r="Y8" s="214">
        <f>SUMIFS(Master!AT$8:AT$55,Master!$J$8:$J$55,'Summary Dept Wise'!$C8,Master!$M$8:$M$55,'Summary Dept Wise'!$E8,Master!$N$8:$N$55,'Summary Dept Wise'!$F8)</f>
        <v>0</v>
      </c>
      <c r="Z8" s="216">
        <f t="shared" si="1"/>
        <v>50013.15789473684</v>
      </c>
      <c r="AA8" s="273">
        <f>SUMIFS(Master!AI$8:AI$55,Master!$J$8:$J$55,'Summary Dept Wise'!$C8,Master!$M$8:$M$55,'Summary Dept Wise'!$E8,Master!$N$8:$N$55,'Summary Dept Wise'!$F8,Master!$AV$8:$AV$55,"Paid")</f>
        <v>0</v>
      </c>
      <c r="AB8" s="273">
        <f>+Z8-AA8</f>
        <v>50013.15789473684</v>
      </c>
      <c r="AC8" s="273">
        <f>SUMIFS(Master!BF$8:BF$55,Master!$J$8:$J$55,'Summary Dept Wise'!$C8,Master!$M$8:$M$55,'Summary Dept Wise'!$E8,Master!$N$8:$N$55,'Summary Dept Wise'!$F8)</f>
        <v>0</v>
      </c>
    </row>
    <row r="9" spans="2:29" ht="13.8" x14ac:dyDescent="0.25">
      <c r="B9" s="212"/>
      <c r="C9" s="37" t="s">
        <v>39</v>
      </c>
      <c r="D9" s="209">
        <f>COUNTIFS(Master!$J$8:$J$55,'Summary Dept Wise'!$C9,Master!$M$8:$M$55,'Summary Dept Wise'!$E9,Master!$N$8:$N$55,'Summary Dept Wise'!$F9)</f>
        <v>1</v>
      </c>
      <c r="E9" s="213" t="s">
        <v>59</v>
      </c>
      <c r="F9" s="213" t="s">
        <v>59</v>
      </c>
      <c r="G9" s="214">
        <f>SUMIFS(Master!$P$8:$P$55,Master!$J$8:$J$55,'Summary Dept Wise'!$C9,Master!$M$8:$M$55,'Summary Dept Wise'!$E9,Master!$N$8:$N$55,'Summary Dept Wise'!$F9)</f>
        <v>80000</v>
      </c>
      <c r="H9" s="214">
        <f>SUMIFS(Master!$U$8:$U$55,Master!$J$8:$J$55,'Summary Dept Wise'!$C9,Master!$M$8:$M$55,'Summary Dept Wise'!$E9,Master!$N$8:$N$55,'Summary Dept Wise'!$F9)</f>
        <v>80000</v>
      </c>
      <c r="I9" s="214">
        <f>SUMIFS(Master!$V$8:$V$55,Master!$J$8:$J$55,'Summary Dept Wise'!$C9,Master!$M$8:$M$55,'Summary Dept Wise'!$E9,Master!$N$8:$N$55,'Summary Dept Wise'!$F9)</f>
        <v>0</v>
      </c>
      <c r="J9" s="214">
        <f>SUMIFS(Master!$X$8:$X$55,Master!$J$8:$J$55,'Summary Dept Wise'!$C9,Master!$M$8:$M$55,'Summary Dept Wise'!$E9,Master!$N$8:$N$55,'Summary Dept Wise'!$F9)</f>
        <v>0</v>
      </c>
      <c r="K9" s="214">
        <f>SUMIFS(Master!$Z$8:$Z$55,Master!$J$8:$J$55,'Summary Dept Wise'!$C9,Master!$M$8:$M$55,'Summary Dept Wise'!$E9,Master!$N$8:$N$55,'Summary Dept Wise'!$F9)</f>
        <v>0</v>
      </c>
      <c r="L9" s="214">
        <f>SUMIFS(Master!AC$8:AC$55,Master!$J$8:$J$55,'Summary Dept Wise'!$C9,Master!$M$8:$M$55,'Summary Dept Wise'!$E9,Master!$N$8:$N$55,'Summary Dept Wise'!$F9)</f>
        <v>0</v>
      </c>
      <c r="M9" s="215">
        <f>SUMIFS(Master!AD$8:AD$55,Master!$J$8:$J$55,'Summary Dept Wise'!$C9,Master!$M$8:$M$55,'Summary Dept Wise'!$E9,Master!$N$8:$N$55,'Summary Dept Wise'!$F9)</f>
        <v>80000</v>
      </c>
      <c r="N9" s="214">
        <f>SUMIFS(Master!AE$8:AE$55,Master!$J$8:$J$55,'Summary Dept Wise'!$C9,Master!$M$8:$M$55,'Summary Dept Wise'!$E9,Master!$N$8:$N$55,'Summary Dept Wise'!$F9)</f>
        <v>467.8</v>
      </c>
      <c r="O9" s="214">
        <f>SUMIFS(Master!AF$8:AF$55,Master!$J$8:$J$55,'Summary Dept Wise'!$C9,Master!$M$8:$M$55,'Summary Dept Wise'!$E9,Master!$N$8:$N$55,'Summary Dept Wise'!$F9)</f>
        <v>0</v>
      </c>
      <c r="P9" s="214">
        <f>SUMIFS(Master!AG$8:AG$55,Master!$J$8:$J$55,'Summary Dept Wise'!$C9,Master!$M$8:$M$55,'Summary Dept Wise'!$E9,Master!$N$8:$N$55,'Summary Dept Wise'!$F9)</f>
        <v>0</v>
      </c>
      <c r="Q9" s="214">
        <f>SUMIFS(Master!AH$8:AH$55,Master!$J$8:$J$55,'Summary Dept Wise'!$C9,Master!$M$8:$M$55,'Summary Dept Wise'!$E9,Master!$N$8:$N$55,'Summary Dept Wise'!$F9)</f>
        <v>0</v>
      </c>
      <c r="R9" s="215">
        <f>SUMIFS(Master!AI$8:AI$55,Master!$J$8:$J$55,'Summary Dept Wise'!$C9,Master!$M$8:$M$55,'Summary Dept Wise'!$E9,Master!$N$8:$N$55,'Summary Dept Wise'!$F9)</f>
        <v>79532.2</v>
      </c>
      <c r="S9" s="214">
        <f>SUMIFS(Master!AN$8:AN$55,Master!$J$8:$J$55,'Summary Dept Wise'!$C9,Master!$M$8:$M$55,'Summary Dept Wise'!$E9,Master!$N$8:$N$55,'Summary Dept Wise'!$F9)</f>
        <v>0</v>
      </c>
      <c r="T9" s="214">
        <f>SUMIFS(Master!AO$8:AO$55,Master!$J$8:$J$55,'Summary Dept Wise'!$C9,Master!$M$8:$M$55,'Summary Dept Wise'!$E9,Master!$N$8:$N$55,'Summary Dept Wise'!$F9)</f>
        <v>0</v>
      </c>
      <c r="U9" s="214">
        <f>SUMIFS(Master!AP$8:AP$55,Master!$J$8:$J$55,'Summary Dept Wise'!$C9,Master!$M$8:$M$55,'Summary Dept Wise'!$E9,Master!$N$8:$N$55,'Summary Dept Wise'!$F9)</f>
        <v>0</v>
      </c>
      <c r="V9" s="214">
        <f>SUMIFS(Master!AQ$8:AQ$55,Master!$J$8:$J$55,'Summary Dept Wise'!$C9,Master!$M$8:$M$55,'Summary Dept Wise'!$E9,Master!$N$8:$N$55,'Summary Dept Wise'!$F9)</f>
        <v>79532.2</v>
      </c>
      <c r="W9" s="214">
        <f>SUMIFS(Master!AR$8:AR$55,Master!$J$8:$J$55,'Summary Dept Wise'!$C9,Master!$M$8:$M$55,'Summary Dept Wise'!$E9,Master!$N$8:$N$55,'Summary Dept Wise'!$F9)</f>
        <v>0</v>
      </c>
      <c r="X9" s="215">
        <f t="shared" si="0"/>
        <v>79532.2</v>
      </c>
      <c r="Y9" s="214">
        <f>SUMIFS(Master!AT$8:AT$55,Master!$J$8:$J$55,'Summary Dept Wise'!$C9,Master!$M$8:$M$55,'Summary Dept Wise'!$E9,Master!$N$8:$N$55,'Summary Dept Wise'!$F9)</f>
        <v>0</v>
      </c>
      <c r="Z9" s="216">
        <f t="shared" si="1"/>
        <v>79532.2</v>
      </c>
      <c r="AA9" s="273">
        <f>SUMIFS(Master!AI$8:AI$55,Master!$J$8:$J$55,'Summary Dept Wise'!$C9,Master!$M$8:$M$55,'Summary Dept Wise'!$E9,Master!$N$8:$N$55,'Summary Dept Wise'!$F9,Master!$AV$8:$AV$55,"Paid")</f>
        <v>0</v>
      </c>
      <c r="AB9" s="273">
        <f>+Z9-AA9</f>
        <v>79532.2</v>
      </c>
      <c r="AC9" s="273">
        <f>SUMIFS(Master!BF$8:BF$55,Master!$J$8:$J$55,'Summary Dept Wise'!$C9,Master!$M$8:$M$55,'Summary Dept Wise'!$E9,Master!$N$8:$N$55,'Summary Dept Wise'!$F9)</f>
        <v>0</v>
      </c>
    </row>
    <row r="10" spans="2:29" ht="13.8" x14ac:dyDescent="0.25">
      <c r="B10" s="217"/>
      <c r="C10" s="218" t="s">
        <v>155</v>
      </c>
      <c r="D10" s="219">
        <f>SUBTOTAL(9,D6:D9)</f>
        <v>10</v>
      </c>
      <c r="E10" s="220"/>
      <c r="F10" s="464">
        <f>G10/$G$69</f>
        <v>0.20454545454545456</v>
      </c>
      <c r="G10" s="221">
        <f t="shared" ref="G10:Z10" si="2">SUBTOTAL(9,G6:G9)</f>
        <v>657000</v>
      </c>
      <c r="H10" s="221">
        <f t="shared" si="2"/>
        <v>657000</v>
      </c>
      <c r="I10" s="221">
        <f t="shared" si="2"/>
        <v>0</v>
      </c>
      <c r="J10" s="221">
        <f t="shared" si="2"/>
        <v>0</v>
      </c>
      <c r="K10" s="221">
        <f t="shared" si="2"/>
        <v>44736.84210526316</v>
      </c>
      <c r="L10" s="221">
        <f t="shared" si="2"/>
        <v>0</v>
      </c>
      <c r="M10" s="222">
        <f t="shared" si="2"/>
        <v>612263.15789473685</v>
      </c>
      <c r="N10" s="221">
        <f t="shared" si="2"/>
        <v>5274.2</v>
      </c>
      <c r="O10" s="221">
        <f t="shared" si="2"/>
        <v>750</v>
      </c>
      <c r="P10" s="221">
        <f t="shared" si="2"/>
        <v>17000</v>
      </c>
      <c r="Q10" s="221">
        <f t="shared" si="2"/>
        <v>10000</v>
      </c>
      <c r="R10" s="222">
        <f t="shared" si="2"/>
        <v>579238.95789473678</v>
      </c>
      <c r="S10" s="223">
        <f t="shared" si="2"/>
        <v>305338.73684210528</v>
      </c>
      <c r="T10" s="221">
        <f t="shared" si="2"/>
        <v>0</v>
      </c>
      <c r="U10" s="221">
        <f t="shared" si="2"/>
        <v>0</v>
      </c>
      <c r="V10" s="223">
        <f t="shared" si="2"/>
        <v>221900.62105263158</v>
      </c>
      <c r="W10" s="223">
        <f t="shared" si="2"/>
        <v>52000</v>
      </c>
      <c r="X10" s="222">
        <f t="shared" ref="X10" si="3">SUBTOTAL(9,X6:X9)</f>
        <v>579239.35789473681</v>
      </c>
      <c r="Y10" s="221">
        <f t="shared" si="2"/>
        <v>0</v>
      </c>
      <c r="Z10" s="224">
        <f t="shared" si="2"/>
        <v>579239.35789473681</v>
      </c>
      <c r="AA10" s="274">
        <f>SUBTOTAL(9,AA6:AA9)</f>
        <v>73000</v>
      </c>
      <c r="AB10" s="274">
        <f>SUBTOTAL(9,AB6:AB9)</f>
        <v>506239.35789473687</v>
      </c>
      <c r="AC10" s="274">
        <f>SUBTOTAL(9,AC6:AC9)</f>
        <v>0</v>
      </c>
    </row>
    <row r="11" spans="2:29" ht="13.8" x14ac:dyDescent="0.25">
      <c r="B11" s="225"/>
      <c r="C11" s="226" t="s">
        <v>154</v>
      </c>
      <c r="D11" s="227"/>
      <c r="E11" s="228"/>
      <c r="F11" s="228"/>
      <c r="G11" s="229">
        <f>+G10/$H$1</f>
        <v>2380.4347826086955</v>
      </c>
      <c r="H11" s="229">
        <f>+H10/$H$1</f>
        <v>2380.4347826086955</v>
      </c>
      <c r="I11" s="229">
        <f t="shared" ref="I11:Z11" si="4">+I10/$H$1</f>
        <v>0</v>
      </c>
      <c r="J11" s="229">
        <f t="shared" si="4"/>
        <v>0</v>
      </c>
      <c r="K11" s="229">
        <f t="shared" si="4"/>
        <v>162.09000762776506</v>
      </c>
      <c r="L11" s="229">
        <f t="shared" si="4"/>
        <v>0</v>
      </c>
      <c r="M11" s="230">
        <f t="shared" si="4"/>
        <v>2218.3447749809307</v>
      </c>
      <c r="N11" s="229">
        <f t="shared" si="4"/>
        <v>19.109420289855073</v>
      </c>
      <c r="O11" s="229">
        <f t="shared" si="4"/>
        <v>2.7173913043478262</v>
      </c>
      <c r="P11" s="229">
        <f t="shared" si="4"/>
        <v>61.594202898550726</v>
      </c>
      <c r="Q11" s="229">
        <f t="shared" si="4"/>
        <v>36.231884057971016</v>
      </c>
      <c r="R11" s="230">
        <f t="shared" si="4"/>
        <v>2098.6918764302059</v>
      </c>
      <c r="S11" s="229">
        <f t="shared" si="4"/>
        <v>1106.2997711670482</v>
      </c>
      <c r="T11" s="229">
        <f t="shared" si="4"/>
        <v>0</v>
      </c>
      <c r="U11" s="229">
        <f t="shared" si="4"/>
        <v>0</v>
      </c>
      <c r="V11" s="229">
        <f t="shared" si="4"/>
        <v>803.98775743707097</v>
      </c>
      <c r="W11" s="229">
        <f t="shared" si="4"/>
        <v>188.40579710144928</v>
      </c>
      <c r="X11" s="230">
        <f t="shared" ref="X11" si="5">+X10/$H$1</f>
        <v>2098.693325705568</v>
      </c>
      <c r="Y11" s="229">
        <f t="shared" si="4"/>
        <v>0</v>
      </c>
      <c r="Z11" s="229">
        <f t="shared" si="4"/>
        <v>2098.693325705568</v>
      </c>
      <c r="AA11" s="242">
        <f>+AA10/$H$1</f>
        <v>264.49275362318838</v>
      </c>
      <c r="AB11" s="242">
        <f>+AB10/$H$1</f>
        <v>1834.2005720823799</v>
      </c>
      <c r="AC11" s="242">
        <f>+AC10/$H$1</f>
        <v>0</v>
      </c>
    </row>
    <row r="12" spans="2:29" ht="13.8" x14ac:dyDescent="0.25">
      <c r="B12" s="231"/>
      <c r="C12" s="232"/>
      <c r="D12" s="233"/>
      <c r="E12" s="234"/>
      <c r="F12" s="234"/>
      <c r="G12" s="235"/>
      <c r="H12" s="235"/>
      <c r="I12" s="235"/>
      <c r="J12" s="235"/>
      <c r="K12" s="235"/>
      <c r="L12" s="235"/>
      <c r="M12" s="236"/>
      <c r="N12" s="235"/>
      <c r="O12" s="235"/>
      <c r="P12" s="235"/>
      <c r="Q12" s="235"/>
      <c r="R12" s="236"/>
      <c r="S12" s="232"/>
      <c r="T12" s="232"/>
      <c r="U12" s="232"/>
      <c r="V12" s="232"/>
      <c r="W12" s="232"/>
      <c r="X12" s="236"/>
      <c r="Y12" s="232"/>
      <c r="Z12" s="237"/>
      <c r="AA12" s="275"/>
      <c r="AB12" s="275"/>
      <c r="AC12" s="275"/>
    </row>
    <row r="13" spans="2:29" ht="13.8" x14ac:dyDescent="0.25">
      <c r="B13" s="207" t="s">
        <v>95</v>
      </c>
      <c r="C13" s="208"/>
      <c r="D13" s="209"/>
      <c r="E13" s="213"/>
      <c r="F13" s="213"/>
      <c r="G13" s="214"/>
      <c r="H13" s="214"/>
      <c r="I13" s="214"/>
      <c r="J13" s="214"/>
      <c r="K13" s="214"/>
      <c r="L13" s="214"/>
      <c r="M13" s="215"/>
      <c r="N13" s="214"/>
      <c r="O13" s="214"/>
      <c r="P13" s="214"/>
      <c r="Q13" s="214"/>
      <c r="R13" s="215"/>
      <c r="S13" s="37"/>
      <c r="T13" s="37"/>
      <c r="U13" s="37"/>
      <c r="V13" s="37"/>
      <c r="W13" s="37"/>
      <c r="X13" s="215"/>
      <c r="Y13" s="37"/>
      <c r="Z13" s="211"/>
      <c r="AA13" s="272"/>
      <c r="AB13" s="272"/>
      <c r="AC13" s="272"/>
    </row>
    <row r="14" spans="2:29" ht="13.8" x14ac:dyDescent="0.25">
      <c r="B14" s="207" t="s">
        <v>156</v>
      </c>
      <c r="C14" s="208"/>
      <c r="D14" s="209"/>
      <c r="E14" s="213"/>
      <c r="F14" s="213"/>
      <c r="G14" s="214"/>
      <c r="H14" s="214"/>
      <c r="I14" s="214"/>
      <c r="J14" s="214"/>
      <c r="K14" s="214"/>
      <c r="L14" s="214"/>
      <c r="M14" s="215"/>
      <c r="N14" s="214"/>
      <c r="O14" s="214"/>
      <c r="P14" s="214"/>
      <c r="Q14" s="214"/>
      <c r="R14" s="215"/>
      <c r="S14" s="37"/>
      <c r="T14" s="37"/>
      <c r="U14" s="37"/>
      <c r="V14" s="37"/>
      <c r="W14" s="37"/>
      <c r="X14" s="215"/>
      <c r="Y14" s="37"/>
      <c r="Z14" s="211"/>
      <c r="AA14" s="272"/>
      <c r="AB14" s="272"/>
      <c r="AC14" s="272"/>
    </row>
    <row r="15" spans="2:29" ht="13.8" x14ac:dyDescent="0.25">
      <c r="B15" s="212"/>
      <c r="C15" s="37" t="s">
        <v>147</v>
      </c>
      <c r="D15" s="209">
        <f>COUNTIFS('Payroll DES Apr24'!$M$6:$M$35,'Summary Dept Wise'!$E15,'Payroll DES Apr24'!$N$6:$N$35,'Summary Dept Wise'!$F15,'Payroll DES Apr24'!$J$6:$J$35,'Summary Dept Wise'!$C15)</f>
        <v>1</v>
      </c>
      <c r="E15" s="213" t="s">
        <v>36</v>
      </c>
      <c r="F15" s="213" t="s">
        <v>36</v>
      </c>
      <c r="G15" s="214">
        <f>SUMIFS(Master!$P$8:$P$55,Master!$J$8:$J$55,'Summary Dept Wise'!$C15,Master!$M$8:$M$55,'Summary Dept Wise'!$E15,Master!$N$8:$N$55,'Summary Dept Wise'!$F15)</f>
        <v>100000</v>
      </c>
      <c r="H15" s="214">
        <f>SUMIFS('Payroll DES Apr24'!U$6:U$35,'Payroll DES Apr24'!$M$6:$M$35,'Summary Dept Wise'!$E15,'Payroll DES Apr24'!$N$6:$N$35,'Summary Dept Wise'!$F15,'Payroll DES Apr24'!$J$6:$J$35,'Summary Dept Wise'!$C15)</f>
        <v>100000</v>
      </c>
      <c r="I15" s="214">
        <f>SUMIFS('Payroll DES Apr24'!V$6:V$35,'Payroll DES Apr24'!$M$6:$M$35,'Summary Dept Wise'!$E15,'Payroll DES Apr24'!$N$6:$N$35,'Summary Dept Wise'!$F15,'Payroll DES Apr24'!$J$6:$J$35,'Summary Dept Wise'!$C15)</f>
        <v>0</v>
      </c>
      <c r="J15" s="214">
        <f>SUMIFS('Payroll DES Apr24'!X$6:X$35,'Payroll DES Apr24'!$M$6:$M$35,'Summary Dept Wise'!$E15,'Payroll DES Apr24'!$N$6:$N$35,'Summary Dept Wise'!$F15,'Payroll DES Apr24'!$J$6:$J$35,'Summary Dept Wise'!$C15)</f>
        <v>0</v>
      </c>
      <c r="K15" s="214">
        <f>SUMIFS('Payroll DES Apr24'!Z$6:Z$35,'Payroll DES Apr24'!$M$6:$M$35,'Summary Dept Wise'!$E15,'Payroll DES Apr24'!$N$6:$N$35,'Summary Dept Wise'!$F15,'Payroll DES Apr24'!$J$6:$J$35,'Summary Dept Wise'!$C15)</f>
        <v>28571.428571428569</v>
      </c>
      <c r="L15" s="214">
        <f>SUMIFS('Payroll DES Apr24'!AC$6:AC$35,'Payroll DES Apr24'!$M$6:$M$35,'Summary Dept Wise'!$E15,'Payroll DES Apr24'!$N$6:$N$35,'Summary Dept Wise'!$F15,'Payroll DES Apr24'!$J$6:$J$35,'Summary Dept Wise'!$C15)</f>
        <v>0</v>
      </c>
      <c r="M15" s="215">
        <f>SUMIFS('Payroll DES Apr24'!AD$6:AD$35,'Payroll DES Apr24'!$M$6:$M$35,'Summary Dept Wise'!$E15,'Payroll DES Apr24'!$N$6:$N$35,'Summary Dept Wise'!$F15,'Payroll DES Apr24'!$J$6:$J$35,'Summary Dept Wise'!$C15)</f>
        <v>71428.571428571435</v>
      </c>
      <c r="N15" s="214">
        <f>SUMIFS('Payroll DES Apr24'!AE$6:AE$35,'Payroll DES Apr24'!$M$6:$M$35,'Summary Dept Wise'!$E15,'Payroll DES Apr24'!$N$6:$N$35,'Summary Dept Wise'!$F15,'Payroll DES Apr24'!$J$6:$J$35,'Summary Dept Wise'!$C15)</f>
        <v>0</v>
      </c>
      <c r="O15" s="214">
        <f>SUMIFS('Payroll DES Apr24'!AF$6:AF$35,'Payroll DES Apr24'!$M$6:$M$35,'Summary Dept Wise'!$E15,'Payroll DES Apr24'!$N$6:$N$35,'Summary Dept Wise'!$F15,'Payroll DES Apr24'!$J$6:$J$35,'Summary Dept Wise'!$C15)</f>
        <v>0</v>
      </c>
      <c r="P15" s="214">
        <f>SUMIFS('Payroll DES Apr24'!AG$6:AG$35,'Payroll DES Apr24'!$M$6:$M$35,'Summary Dept Wise'!$E15,'Payroll DES Apr24'!$N$6:$N$35,'Summary Dept Wise'!$F15,'Payroll DES Apr24'!$J$6:$J$35,'Summary Dept Wise'!$C15)</f>
        <v>0</v>
      </c>
      <c r="Q15" s="214">
        <f>SUMIFS('Payroll DES Apr24'!AH$6:AH$35,'Payroll DES Apr24'!$M$6:$M$35,'Summary Dept Wise'!$E15,'Payroll DES Apr24'!$N$6:$N$35,'Summary Dept Wise'!$F15,'Payroll DES Apr24'!$J$6:$J$35,'Summary Dept Wise'!$C15)</f>
        <v>0</v>
      </c>
      <c r="R15" s="215">
        <f>SUMIFS('Payroll DES Apr24'!AI$6:AI$35,'Payroll DES Apr24'!$M$6:$M$35,'Summary Dept Wise'!$E15,'Payroll DES Apr24'!$N$6:$N$35,'Summary Dept Wise'!$F15,'Payroll DES Apr24'!$J$6:$J$35,'Summary Dept Wise'!$C15)</f>
        <v>71428.571428571435</v>
      </c>
      <c r="S15" s="214">
        <f>SUMIFS('Payroll DES Apr24'!AN$6:AN$35,'Payroll DES Apr24'!$M$6:$M$35,'Summary Dept Wise'!$E15,'Payroll DES Apr24'!$N$6:$N$35,'Summary Dept Wise'!$F15,'Payroll DES Apr24'!$J$6:$J$35,'Summary Dept Wise'!$C15)</f>
        <v>71428.571428571435</v>
      </c>
      <c r="T15" s="214">
        <f>SUMIFS('Payroll DES Apr24'!AO$6:AO$35,'Payroll DES Apr24'!$M$6:$M$35,'Summary Dept Wise'!$E15,'Payroll DES Apr24'!$N$6:$N$35,'Summary Dept Wise'!$F15,'Payroll DES Apr24'!$J$6:$J$35,'Summary Dept Wise'!$C15)</f>
        <v>0</v>
      </c>
      <c r="U15" s="214">
        <f>SUMIFS('Payroll DES Apr24'!AP$6:AP$35,'Payroll DES Apr24'!$M$6:$M$35,'Summary Dept Wise'!$E15,'Payroll DES Apr24'!$N$6:$N$35,'Summary Dept Wise'!$F15,'Payroll DES Apr24'!$J$6:$J$35,'Summary Dept Wise'!$C15)</f>
        <v>0</v>
      </c>
      <c r="V15" s="214">
        <f>SUMIFS('Payroll DES Apr24'!AQ$6:AQ$35,'Payroll DES Apr24'!$M$6:$M$35,'Summary Dept Wise'!$E15,'Payroll DES Apr24'!$N$6:$N$35,'Summary Dept Wise'!$F15,'Payroll DES Apr24'!$J$6:$J$35,'Summary Dept Wise'!$C15)</f>
        <v>0</v>
      </c>
      <c r="W15" s="214">
        <f>SUMIFS('Payroll DES Apr24'!AR$6:AR$35,'Payroll DES Apr24'!$M$6:$M$35,'Summary Dept Wise'!$E15,'Payroll DES Apr24'!$N$6:$N$35,'Summary Dept Wise'!$F15,'Payroll DES Apr24'!$J$6:$J$35,'Summary Dept Wise'!$C15)</f>
        <v>0</v>
      </c>
      <c r="X15" s="215">
        <f t="shared" ref="X15:X17" si="6">SUM(S15:W15)</f>
        <v>71428.571428571435</v>
      </c>
      <c r="Y15" s="214">
        <f>SUMIFS('Payroll DES Apr24'!AT$6:AT$35,'Payroll DES Apr24'!$M$6:$M$35,'Summary Dept Wise'!$E15,'Payroll DES Apr24'!$N$6:$N$35,'Summary Dept Wise'!$F15,'Payroll DES Apr24'!$J$6:$J$35,'Summary Dept Wise'!$C15)</f>
        <v>0</v>
      </c>
      <c r="Z15" s="216">
        <f t="shared" ref="Z15:Z17" si="7">SUM(X15:Y15)</f>
        <v>71428.571428571435</v>
      </c>
      <c r="AA15" s="273">
        <f>SUMIFS(Master!AI$8:AI$55,Master!$J$8:$J$55,'Summary Dept Wise'!$C15,Master!$M$8:$M$55,'Summary Dept Wise'!$E15,Master!$N$8:$N$55,'Summary Dept Wise'!$F15,Master!$AV$8:$AV$55,"Paid")</f>
        <v>0</v>
      </c>
      <c r="AB15" s="273">
        <f>+Z15-AA15</f>
        <v>71428.571428571435</v>
      </c>
      <c r="AC15" s="273">
        <f>SUMIFS(Master!BF$8:BF$55,Master!$J$8:$J$55,'Summary Dept Wise'!$C15,Master!$M$8:$M$55,'Summary Dept Wise'!$E15,Master!$N$8:$N$55,'Summary Dept Wise'!$F15)</f>
        <v>0</v>
      </c>
    </row>
    <row r="16" spans="2:29" ht="13.8" hidden="1" x14ac:dyDescent="0.25">
      <c r="B16" s="212"/>
      <c r="C16" s="37" t="s">
        <v>63</v>
      </c>
      <c r="D16" s="209">
        <f>COUNTIFS('Payroll DES Apr24'!$M$6:$M$35,'Summary Dept Wise'!$E16,'Payroll DES Apr24'!$N$6:$N$35,'Summary Dept Wise'!$F16,'Payroll DES Apr24'!$J$6:$J$35,'Summary Dept Wise'!$C16)</f>
        <v>0</v>
      </c>
      <c r="E16" s="213" t="s">
        <v>36</v>
      </c>
      <c r="F16" s="213" t="s">
        <v>36</v>
      </c>
      <c r="G16" s="214">
        <f>SUMIFS('Payroll DES Apr24'!T$6:T$35,'Payroll DES Apr24'!$M$6:$M$35,'Summary Dept Wise'!$E16,'Payroll DES Apr24'!$N$6:$N$35,'Summary Dept Wise'!$F16,'Payroll DES Apr24'!$J$6:$J$35,'Summary Dept Wise'!$C16)</f>
        <v>0</v>
      </c>
      <c r="H16" s="214">
        <f>SUMIFS('Payroll DES Apr24'!U$6:U$35,'Payroll DES Apr24'!$M$6:$M$35,'Summary Dept Wise'!$E16,'Payroll DES Apr24'!$N$6:$N$35,'Summary Dept Wise'!$F16,'Payroll DES Apr24'!$J$6:$J$35,'Summary Dept Wise'!$C16)</f>
        <v>0</v>
      </c>
      <c r="I16" s="214">
        <f>SUMIFS('Payroll DES Apr24'!V$6:V$35,'Payroll DES Apr24'!$M$6:$M$35,'Summary Dept Wise'!$E16,'Payroll DES Apr24'!$N$6:$N$35,'Summary Dept Wise'!$F16,'Payroll DES Apr24'!$J$6:$J$35,'Summary Dept Wise'!$C16)</f>
        <v>0</v>
      </c>
      <c r="J16" s="214">
        <f>SUMIFS('Payroll DES Apr24'!X$6:X$35,'Payroll DES Apr24'!$M$6:$M$35,'Summary Dept Wise'!$E16,'Payroll DES Apr24'!$N$6:$N$35,'Summary Dept Wise'!$F16,'Payroll DES Apr24'!$J$6:$J$35,'Summary Dept Wise'!$C16)</f>
        <v>0</v>
      </c>
      <c r="K16" s="214">
        <f>SUMIFS('Payroll DES Apr24'!Z$6:Z$35,'Payroll DES Apr24'!$M$6:$M$35,'Summary Dept Wise'!$E16,'Payroll DES Apr24'!$N$6:$N$35,'Summary Dept Wise'!$F16,'Payroll DES Apr24'!$J$6:$J$35,'Summary Dept Wise'!$C16)</f>
        <v>0</v>
      </c>
      <c r="L16" s="214">
        <f>SUMIFS('Payroll DES Apr24'!AC$6:AC$35,'Payroll DES Apr24'!$M$6:$M$35,'Summary Dept Wise'!$E16,'Payroll DES Apr24'!$N$6:$N$35,'Summary Dept Wise'!$F16,'Payroll DES Apr24'!$J$6:$J$35,'Summary Dept Wise'!$C16)</f>
        <v>0</v>
      </c>
      <c r="M16" s="215">
        <f>SUMIFS('Payroll DES Apr24'!AD$6:AD$35,'Payroll DES Apr24'!$M$6:$M$35,'Summary Dept Wise'!$E16,'Payroll DES Apr24'!$N$6:$N$35,'Summary Dept Wise'!$F16,'Payroll DES Apr24'!$J$6:$J$35,'Summary Dept Wise'!$C16)</f>
        <v>0</v>
      </c>
      <c r="N16" s="214">
        <f>SUMIFS('Payroll DES Apr24'!AE$6:AE$35,'Payroll DES Apr24'!$M$6:$M$35,'Summary Dept Wise'!$E16,'Payroll DES Apr24'!$N$6:$N$35,'Summary Dept Wise'!$F16,'Payroll DES Apr24'!$J$6:$J$35,'Summary Dept Wise'!$C16)</f>
        <v>0</v>
      </c>
      <c r="O16" s="214">
        <f>SUMIFS('Payroll DES Apr24'!AF$6:AF$35,'Payroll DES Apr24'!$M$6:$M$35,'Summary Dept Wise'!$E16,'Payroll DES Apr24'!$N$6:$N$35,'Summary Dept Wise'!$F16,'Payroll DES Apr24'!$J$6:$J$35,'Summary Dept Wise'!$C16)</f>
        <v>0</v>
      </c>
      <c r="P16" s="214">
        <f>SUMIFS('Payroll DES Apr24'!AG$6:AG$35,'Payroll DES Apr24'!$M$6:$M$35,'Summary Dept Wise'!$E16,'Payroll DES Apr24'!$N$6:$N$35,'Summary Dept Wise'!$F16,'Payroll DES Apr24'!$J$6:$J$35,'Summary Dept Wise'!$C16)</f>
        <v>0</v>
      </c>
      <c r="Q16" s="214">
        <f>SUMIFS('Payroll DES Apr24'!AH$6:AH$35,'Payroll DES Apr24'!$M$6:$M$35,'Summary Dept Wise'!$E16,'Payroll DES Apr24'!$N$6:$N$35,'Summary Dept Wise'!$F16,'Payroll DES Apr24'!$J$6:$J$35,'Summary Dept Wise'!$C16)</f>
        <v>0</v>
      </c>
      <c r="R16" s="215">
        <f>SUMIFS('Payroll DES Apr24'!AI$6:AI$35,'Payroll DES Apr24'!$M$6:$M$35,'Summary Dept Wise'!$E16,'Payroll DES Apr24'!$N$6:$N$35,'Summary Dept Wise'!$F16,'Payroll DES Apr24'!$J$6:$J$35,'Summary Dept Wise'!$C16)</f>
        <v>0</v>
      </c>
      <c r="S16" s="214">
        <f>SUMIFS('Payroll DES Apr24'!AN$6:AN$35,'Payroll DES Apr24'!$M$6:$M$35,'Summary Dept Wise'!$E16,'Payroll DES Apr24'!$N$6:$N$35,'Summary Dept Wise'!$F16,'Payroll DES Apr24'!$J$6:$J$35,'Summary Dept Wise'!$C16)</f>
        <v>0</v>
      </c>
      <c r="T16" s="214">
        <f>SUMIFS('Payroll DES Apr24'!AO$6:AO$35,'Payroll DES Apr24'!$M$6:$M$35,'Summary Dept Wise'!$E16,'Payroll DES Apr24'!$N$6:$N$35,'Summary Dept Wise'!$F16,'Payroll DES Apr24'!$J$6:$J$35,'Summary Dept Wise'!$C16)</f>
        <v>0</v>
      </c>
      <c r="U16" s="214">
        <f>SUMIFS('Payroll DES Apr24'!AP$6:AP$35,'Payroll DES Apr24'!$M$6:$M$35,'Summary Dept Wise'!$E16,'Payroll DES Apr24'!$N$6:$N$35,'Summary Dept Wise'!$F16,'Payroll DES Apr24'!$J$6:$J$35,'Summary Dept Wise'!$C16)</f>
        <v>0</v>
      </c>
      <c r="V16" s="214">
        <f>SUMIFS('Payroll DES Apr24'!AQ$6:AQ$35,'Payroll DES Apr24'!$M$6:$M$35,'Summary Dept Wise'!$E16,'Payroll DES Apr24'!$N$6:$N$35,'Summary Dept Wise'!$F16,'Payroll DES Apr24'!$J$6:$J$35,'Summary Dept Wise'!$C16)</f>
        <v>0</v>
      </c>
      <c r="W16" s="214">
        <f>SUMIFS('Payroll DES Apr24'!AR$6:AR$35,'Payroll DES Apr24'!$M$6:$M$35,'Summary Dept Wise'!$E16,'Payroll DES Apr24'!$N$6:$N$35,'Summary Dept Wise'!$F16,'Payroll DES Apr24'!$J$6:$J$35,'Summary Dept Wise'!$C16)</f>
        <v>0</v>
      </c>
      <c r="X16" s="215">
        <f t="shared" si="6"/>
        <v>0</v>
      </c>
      <c r="Y16" s="214">
        <f>SUMIFS('Payroll DES Apr24'!AT$6:AT$35,'Payroll DES Apr24'!$M$6:$M$35,'Summary Dept Wise'!$E16,'Payroll DES Apr24'!$N$6:$N$35,'Summary Dept Wise'!$F16,'Payroll DES Apr24'!$J$6:$J$35,'Summary Dept Wise'!$C16)</f>
        <v>0</v>
      </c>
      <c r="Z16" s="216">
        <f t="shared" si="7"/>
        <v>0</v>
      </c>
      <c r="AA16" s="273">
        <f>SUMIFS(Master!AI$8:AI$55,Master!$J$8:$J$55,'Summary Dept Wise'!$C16,Master!$M$8:$M$55,'Summary Dept Wise'!$E16,Master!$N$8:$N$55,'Summary Dept Wise'!$F16,Master!$AV$8:$AV$55,"Paid")</f>
        <v>0</v>
      </c>
      <c r="AB16" s="273">
        <f>+Z16-AA16</f>
        <v>0</v>
      </c>
      <c r="AC16" s="273">
        <f>SUMIFS(Master!BF$8:BF$55,Master!$J$8:$J$55,'Summary Dept Wise'!$C16,Master!$M$8:$M$55,'Summary Dept Wise'!$E16,Master!$N$8:$N$55,'Summary Dept Wise'!$F16)</f>
        <v>0</v>
      </c>
    </row>
    <row r="17" spans="2:29" ht="13.8" x14ac:dyDescent="0.25">
      <c r="B17" s="212"/>
      <c r="C17" s="37" t="s">
        <v>32</v>
      </c>
      <c r="D17" s="209">
        <f>COUNTIFS(Master!$J$8:$J$55,'Summary Dept Wise'!$C17,Master!$M$8:$M$55,'Summary Dept Wise'!$E17,Master!$N$8:$N$55,'Summary Dept Wise'!$F17)</f>
        <v>1</v>
      </c>
      <c r="E17" s="213" t="s">
        <v>36</v>
      </c>
      <c r="F17" s="213" t="s">
        <v>36</v>
      </c>
      <c r="G17" s="214">
        <f>SUMIFS(Master!$P$8:$P$55,Master!$J$8:$J$55,'Summary Dept Wise'!$C17,Master!$M$8:$M$55,'Summary Dept Wise'!$E17,Master!$N$8:$N$55,'Summary Dept Wise'!$F17)</f>
        <v>175000</v>
      </c>
      <c r="H17" s="214">
        <f>SUMIFS(Master!$U$8:$U$55,Master!$J$8:$J$55,'Summary Dept Wise'!$C17,Master!$M$8:$M$55,'Summary Dept Wise'!$E17,Master!$N$8:$N$55,'Summary Dept Wise'!$F17)</f>
        <v>175000</v>
      </c>
      <c r="I17" s="214">
        <f>SUMIFS(Master!$V$8:$V$55,Master!$J$8:$J$55,'Summary Dept Wise'!$C17,Master!$M$8:$M$55,'Summary Dept Wise'!$E17,Master!$N$8:$N$55,'Summary Dept Wise'!$F17)</f>
        <v>0</v>
      </c>
      <c r="J17" s="214">
        <f>SUMIFS(Master!$X$8:$X$55,Master!$J$8:$J$55,'Summary Dept Wise'!$C17,Master!$M$8:$M$55,'Summary Dept Wise'!$E17,Master!$N$8:$N$55,'Summary Dept Wise'!$F17)</f>
        <v>0</v>
      </c>
      <c r="K17" s="214">
        <f>SUMIFS(Master!$Z$8:$Z$55,Master!$J$8:$J$55,'Summary Dept Wise'!$C17,Master!$M$8:$M$55,'Summary Dept Wise'!$E17,Master!$N$8:$N$55,'Summary Dept Wise'!$F17)</f>
        <v>0</v>
      </c>
      <c r="L17" s="214">
        <f>SUMIFS(Master!AC$8:AC$55,Master!$J$8:$J$55,'Summary Dept Wise'!$C17,Master!$M$8:$M$55,'Summary Dept Wise'!$E17,Master!$N$8:$N$55,'Summary Dept Wise'!$F17)</f>
        <v>0</v>
      </c>
      <c r="M17" s="215">
        <f>SUMIFS(Master!AD$8:AD$55,Master!$J$8:$J$55,'Summary Dept Wise'!$C17,Master!$M$8:$M$55,'Summary Dept Wise'!$E17,Master!$N$8:$N$55,'Summary Dept Wise'!$F17)</f>
        <v>175000</v>
      </c>
      <c r="N17" s="214">
        <f>SUMIFS(Master!AE$8:AE$55,Master!$J$8:$J$55,'Summary Dept Wise'!$C17,Master!$M$8:$M$55,'Summary Dept Wise'!$E17,Master!$N$8:$N$55,'Summary Dept Wise'!$F17)</f>
        <v>0</v>
      </c>
      <c r="O17" s="214">
        <f>SUMIFS(Master!AF$8:AF$55,Master!$J$8:$J$55,'Summary Dept Wise'!$C17,Master!$M$8:$M$55,'Summary Dept Wise'!$E17,Master!$N$8:$N$55,'Summary Dept Wise'!$F17)</f>
        <v>0</v>
      </c>
      <c r="P17" s="214">
        <f>SUMIFS(Master!AG$8:AG$55,Master!$J$8:$J$55,'Summary Dept Wise'!$C17,Master!$M$8:$M$55,'Summary Dept Wise'!$E17,Master!$N$8:$N$55,'Summary Dept Wise'!$F17)</f>
        <v>0</v>
      </c>
      <c r="Q17" s="214">
        <f>SUMIFS(Master!AH$8:AH$55,Master!$J$8:$J$55,'Summary Dept Wise'!$C17,Master!$M$8:$M$55,'Summary Dept Wise'!$E17,Master!$N$8:$N$55,'Summary Dept Wise'!$F17)</f>
        <v>0</v>
      </c>
      <c r="R17" s="215">
        <f>SUMIFS(Master!AI$8:AI$55,Master!$J$8:$J$55,'Summary Dept Wise'!$C17,Master!$M$8:$M$55,'Summary Dept Wise'!$E17,Master!$N$8:$N$55,'Summary Dept Wise'!$F17)</f>
        <v>175000</v>
      </c>
      <c r="S17" s="214">
        <f>SUMIFS(Master!AN$8:AN$55,Master!$J$8:$J$55,'Summary Dept Wise'!$C17,Master!$M$8:$M$55,'Summary Dept Wise'!$E17,Master!$N$8:$N$55,'Summary Dept Wise'!$F17)</f>
        <v>175000</v>
      </c>
      <c r="T17" s="214">
        <f>SUMIFS(Master!AO$8:AO$55,Master!$J$8:$J$55,'Summary Dept Wise'!$C17,Master!$M$8:$M$55,'Summary Dept Wise'!$E17,Master!$N$8:$N$55,'Summary Dept Wise'!$F17)</f>
        <v>0</v>
      </c>
      <c r="U17" s="214">
        <f>SUMIFS(Master!AP$8:AP$55,Master!$J$8:$J$55,'Summary Dept Wise'!$C17,Master!$M$8:$M$55,'Summary Dept Wise'!$E17,Master!$N$8:$N$55,'Summary Dept Wise'!$F17)</f>
        <v>0</v>
      </c>
      <c r="V17" s="214">
        <f>SUMIFS(Master!AQ$8:AQ$55,Master!$J$8:$J$55,'Summary Dept Wise'!$C17,Master!$M$8:$M$55,'Summary Dept Wise'!$E17,Master!$N$8:$N$55,'Summary Dept Wise'!$F17)</f>
        <v>0</v>
      </c>
      <c r="W17" s="214">
        <f>SUMIFS(Master!AR$8:AR$55,Master!$J$8:$J$55,'Summary Dept Wise'!$C17,Master!$M$8:$M$55,'Summary Dept Wise'!$E17,Master!$N$8:$N$55,'Summary Dept Wise'!$F17)</f>
        <v>0</v>
      </c>
      <c r="X17" s="215">
        <f t="shared" si="6"/>
        <v>175000</v>
      </c>
      <c r="Y17" s="214">
        <f>SUMIFS(Master!AT$8:AT$55,Master!$J$8:$J$55,'Summary Dept Wise'!$C17,Master!$M$8:$M$55,'Summary Dept Wise'!$E17,Master!$N$8:$N$55,'Summary Dept Wise'!$F17)</f>
        <v>0</v>
      </c>
      <c r="Z17" s="216">
        <f t="shared" si="7"/>
        <v>175000</v>
      </c>
      <c r="AA17" s="273">
        <f>SUMIFS(Master!AI$8:AI$55,Master!$J$8:$J$55,'Summary Dept Wise'!$C17,Master!$M$8:$M$55,'Summary Dept Wise'!$E17,Master!$N$8:$N$55,'Summary Dept Wise'!$F17,Master!$AV$8:$AV$55,"Paid")</f>
        <v>0</v>
      </c>
      <c r="AB17" s="273">
        <f>+Z17-AA17</f>
        <v>175000</v>
      </c>
      <c r="AC17" s="273">
        <f>SUMIFS(Master!BF$8:BF$55,Master!$J$8:$J$55,'Summary Dept Wise'!$C17,Master!$M$8:$M$55,'Summary Dept Wise'!$E17,Master!$N$8:$N$55,'Summary Dept Wise'!$F17)</f>
        <v>0</v>
      </c>
    </row>
    <row r="18" spans="2:29" ht="13.8" x14ac:dyDescent="0.25">
      <c r="B18" s="238"/>
      <c r="C18" s="239"/>
      <c r="D18" s="240">
        <f>SUBTOTAL(9,D15:D17)</f>
        <v>2</v>
      </c>
      <c r="E18" s="241"/>
      <c r="F18" s="463">
        <f>G18/$G$69</f>
        <v>8.5616438356164379E-2</v>
      </c>
      <c r="G18" s="242">
        <f>SUBTOTAL(9,G15:G17)</f>
        <v>275000</v>
      </c>
      <c r="H18" s="242">
        <f t="shared" ref="H18:AC18" si="8">SUBTOTAL(9,H15:H17)</f>
        <v>275000</v>
      </c>
      <c r="I18" s="242">
        <f t="shared" si="8"/>
        <v>0</v>
      </c>
      <c r="J18" s="242">
        <f t="shared" si="8"/>
        <v>0</v>
      </c>
      <c r="K18" s="242">
        <f t="shared" si="8"/>
        <v>28571.428571428569</v>
      </c>
      <c r="L18" s="242">
        <f t="shared" si="8"/>
        <v>0</v>
      </c>
      <c r="M18" s="230">
        <f t="shared" si="8"/>
        <v>246428.57142857142</v>
      </c>
      <c r="N18" s="242">
        <f t="shared" si="8"/>
        <v>0</v>
      </c>
      <c r="O18" s="242">
        <f t="shared" si="8"/>
        <v>0</v>
      </c>
      <c r="P18" s="242">
        <f t="shared" si="8"/>
        <v>0</v>
      </c>
      <c r="Q18" s="242">
        <f t="shared" si="8"/>
        <v>0</v>
      </c>
      <c r="R18" s="230">
        <f t="shared" si="8"/>
        <v>246428.57142857142</v>
      </c>
      <c r="S18" s="243">
        <f t="shared" si="8"/>
        <v>246428.57142857142</v>
      </c>
      <c r="T18" s="242">
        <f t="shared" si="8"/>
        <v>0</v>
      </c>
      <c r="U18" s="242">
        <f t="shared" si="8"/>
        <v>0</v>
      </c>
      <c r="V18" s="243">
        <f t="shared" si="8"/>
        <v>0</v>
      </c>
      <c r="W18" s="242">
        <f t="shared" si="8"/>
        <v>0</v>
      </c>
      <c r="X18" s="230">
        <f t="shared" si="8"/>
        <v>246428.57142857142</v>
      </c>
      <c r="Y18" s="242">
        <f t="shared" si="8"/>
        <v>0</v>
      </c>
      <c r="Z18" s="244">
        <f t="shared" si="8"/>
        <v>246428.57142857142</v>
      </c>
      <c r="AA18" s="244">
        <f t="shared" si="8"/>
        <v>0</v>
      </c>
      <c r="AB18" s="244">
        <f t="shared" si="8"/>
        <v>246428.57142857142</v>
      </c>
      <c r="AC18" s="244">
        <f t="shared" si="8"/>
        <v>0</v>
      </c>
    </row>
    <row r="19" spans="2:29" ht="13.8" x14ac:dyDescent="0.25">
      <c r="B19" s="212"/>
      <c r="C19" s="37"/>
      <c r="D19" s="245"/>
      <c r="E19" s="213"/>
      <c r="F19" s="213"/>
      <c r="G19" s="246"/>
      <c r="H19" s="246"/>
      <c r="I19" s="246"/>
      <c r="J19" s="246"/>
      <c r="K19" s="246"/>
      <c r="L19" s="246"/>
      <c r="M19" s="247"/>
      <c r="N19" s="246"/>
      <c r="O19" s="246"/>
      <c r="P19" s="246"/>
      <c r="Q19" s="246"/>
      <c r="R19" s="247"/>
      <c r="S19" s="246"/>
      <c r="T19" s="246"/>
      <c r="U19" s="246"/>
      <c r="V19" s="246"/>
      <c r="W19" s="246"/>
      <c r="X19" s="247"/>
      <c r="Y19" s="246"/>
      <c r="Z19" s="248"/>
      <c r="AA19" s="276"/>
      <c r="AB19" s="276"/>
      <c r="AC19" s="276"/>
    </row>
    <row r="20" spans="2:29" ht="13.8" hidden="1" x14ac:dyDescent="0.25">
      <c r="B20" s="212"/>
      <c r="C20" s="37"/>
      <c r="D20" s="245"/>
      <c r="E20" s="213"/>
      <c r="F20" s="213"/>
      <c r="G20" s="246"/>
      <c r="H20" s="246"/>
      <c r="I20" s="246"/>
      <c r="J20" s="246"/>
      <c r="K20" s="246"/>
      <c r="L20" s="246"/>
      <c r="M20" s="247"/>
      <c r="N20" s="246"/>
      <c r="O20" s="246"/>
      <c r="P20" s="246"/>
      <c r="Q20" s="246"/>
      <c r="R20" s="247"/>
      <c r="S20" s="246"/>
      <c r="T20" s="246"/>
      <c r="U20" s="246"/>
      <c r="V20" s="246"/>
      <c r="W20" s="246"/>
      <c r="X20" s="247"/>
      <c r="Y20" s="246"/>
      <c r="Z20" s="246"/>
      <c r="AA20" s="269"/>
      <c r="AB20" s="269"/>
      <c r="AC20" s="269"/>
    </row>
    <row r="21" spans="2:29" ht="13.8" hidden="1" x14ac:dyDescent="0.25">
      <c r="B21" s="207" t="s">
        <v>151</v>
      </c>
      <c r="C21" s="208"/>
      <c r="D21" s="209"/>
      <c r="E21" s="213"/>
      <c r="F21" s="213"/>
      <c r="G21" s="214"/>
      <c r="H21" s="214"/>
      <c r="I21" s="214"/>
      <c r="J21" s="214"/>
      <c r="K21" s="214"/>
      <c r="L21" s="214"/>
      <c r="M21" s="215"/>
      <c r="N21" s="214"/>
      <c r="O21" s="214"/>
      <c r="P21" s="214"/>
      <c r="Q21" s="214"/>
      <c r="R21" s="215"/>
      <c r="S21" s="37"/>
      <c r="T21" s="37"/>
      <c r="U21" s="37"/>
      <c r="V21" s="37"/>
      <c r="W21" s="37"/>
      <c r="X21" s="215"/>
      <c r="Y21" s="37"/>
      <c r="Z21" s="211"/>
      <c r="AA21" s="272"/>
      <c r="AB21" s="272"/>
      <c r="AC21" s="272"/>
    </row>
    <row r="22" spans="2:29" ht="13.8" hidden="1" x14ac:dyDescent="0.25">
      <c r="B22" s="249"/>
      <c r="C22" s="37" t="s">
        <v>149</v>
      </c>
      <c r="D22" s="209">
        <f>COUNTIFS(Master!$J$8:$J$55,'Summary Dept Wise'!$C22,Master!$M$8:$M$55,'Summary Dept Wise'!$E22,Master!$N$8:$N$55,'Summary Dept Wise'!$F22)</f>
        <v>0</v>
      </c>
      <c r="E22" s="213" t="s">
        <v>61</v>
      </c>
      <c r="F22" s="213" t="s">
        <v>59</v>
      </c>
      <c r="G22" s="214">
        <f>SUMIFS(Master!$P$8:$P$55,Master!$J$8:$J$55,'Summary Dept Wise'!$C22,Master!$M$8:$M$55,'Summary Dept Wise'!$E22,Master!$N$8:$N$55,'Summary Dept Wise'!$F22)</f>
        <v>0</v>
      </c>
      <c r="H22" s="214">
        <f>SUMIFS(Master!$U$8:$U$55,Master!$J$8:$J$55,'Summary Dept Wise'!$C22,Master!$M$8:$M$55,'Summary Dept Wise'!$E22,Master!$N$8:$N$55,'Summary Dept Wise'!$F22)</f>
        <v>0</v>
      </c>
      <c r="I22" s="214">
        <f>SUMIFS(Master!$V$8:$V$55,Master!$J$8:$J$55,'Summary Dept Wise'!$C22,Master!$M$8:$M$55,'Summary Dept Wise'!$E22,Master!$N$8:$N$55,'Summary Dept Wise'!$F22)</f>
        <v>0</v>
      </c>
      <c r="J22" s="214">
        <f>SUMIFS(Master!$X$8:$X$55,Master!$J$8:$J$55,'Summary Dept Wise'!$C22,Master!$M$8:$M$55,'Summary Dept Wise'!$E22,Master!$N$8:$N$55,'Summary Dept Wise'!$F22)</f>
        <v>0</v>
      </c>
      <c r="K22" s="214">
        <f>SUMIFS(Master!$Z$8:$Z$55,Master!$J$8:$J$55,'Summary Dept Wise'!$C22,Master!$M$8:$M$55,'Summary Dept Wise'!$E22,Master!$N$8:$N$55,'Summary Dept Wise'!$F22)</f>
        <v>0</v>
      </c>
      <c r="L22" s="214">
        <f>SUMIFS(Master!AC$8:AC$55,Master!$J$8:$J$55,'Summary Dept Wise'!$C22,Master!$M$8:$M$55,'Summary Dept Wise'!$E22,Master!$N$8:$N$55,'Summary Dept Wise'!$F22)</f>
        <v>0</v>
      </c>
      <c r="M22" s="215">
        <f>SUMIFS(Master!AD$8:AD$55,Master!$J$8:$J$55,'Summary Dept Wise'!$C22,Master!$M$8:$M$55,'Summary Dept Wise'!$E22,Master!$N$8:$N$55,'Summary Dept Wise'!$F22)</f>
        <v>0</v>
      </c>
      <c r="N22" s="214">
        <f>SUMIFS(Master!AE$8:AE$55,Master!$J$8:$J$55,'Summary Dept Wise'!$C22,Master!$M$8:$M$55,'Summary Dept Wise'!$E22,Master!$N$8:$N$55,'Summary Dept Wise'!$F22)</f>
        <v>0</v>
      </c>
      <c r="O22" s="214">
        <f>SUMIFS(Master!AF$8:AF$55,Master!$J$8:$J$55,'Summary Dept Wise'!$C22,Master!$M$8:$M$55,'Summary Dept Wise'!$E22,Master!$N$8:$N$55,'Summary Dept Wise'!$F22)</f>
        <v>0</v>
      </c>
      <c r="P22" s="214">
        <f>SUMIFS(Master!AG$8:AG$55,Master!$J$8:$J$55,'Summary Dept Wise'!$C22,Master!$M$8:$M$55,'Summary Dept Wise'!$E22,Master!$N$8:$N$55,'Summary Dept Wise'!$F22)</f>
        <v>0</v>
      </c>
      <c r="Q22" s="214">
        <f>SUMIFS(Master!AH$8:AH$55,Master!$J$8:$J$55,'Summary Dept Wise'!$C22,Master!$M$8:$M$55,'Summary Dept Wise'!$E22,Master!$N$8:$N$55,'Summary Dept Wise'!$F22)</f>
        <v>0</v>
      </c>
      <c r="R22" s="215">
        <f>SUMIFS(Master!AI$8:AI$55,Master!$J$8:$J$55,'Summary Dept Wise'!$C22,Master!$M$8:$M$55,'Summary Dept Wise'!$E22,Master!$N$8:$N$55,'Summary Dept Wise'!$F22)</f>
        <v>0</v>
      </c>
      <c r="S22" s="214">
        <f>SUMIFS(Master!AN$8:AN$55,Master!$J$8:$J$55,'Summary Dept Wise'!$C22,Master!$M$8:$M$55,'Summary Dept Wise'!$E22,Master!$N$8:$N$55,'Summary Dept Wise'!$F22)</f>
        <v>0</v>
      </c>
      <c r="T22" s="214">
        <f>SUMIFS(Master!AO$8:AO$55,Master!$J$8:$J$55,'Summary Dept Wise'!$C22,Master!$M$8:$M$55,'Summary Dept Wise'!$E22,Master!$N$8:$N$55,'Summary Dept Wise'!$F22)</f>
        <v>0</v>
      </c>
      <c r="U22" s="214">
        <f>SUMIFS(Master!AP$8:AP$55,Master!$J$8:$J$55,'Summary Dept Wise'!$C22,Master!$M$8:$M$55,'Summary Dept Wise'!$E22,Master!$N$8:$N$55,'Summary Dept Wise'!$F22)</f>
        <v>0</v>
      </c>
      <c r="V22" s="214">
        <f>SUMIFS(Master!AQ$8:AQ$55,Master!$J$8:$J$55,'Summary Dept Wise'!$C22,Master!$M$8:$M$55,'Summary Dept Wise'!$E22,Master!$N$8:$N$55,'Summary Dept Wise'!$F22)</f>
        <v>0</v>
      </c>
      <c r="W22" s="214">
        <f>SUMIFS(Master!AR$8:AR$55,Master!$J$8:$J$55,'Summary Dept Wise'!$C22,Master!$M$8:$M$55,'Summary Dept Wise'!$E22,Master!$N$8:$N$55,'Summary Dept Wise'!$F22)</f>
        <v>0</v>
      </c>
      <c r="X22" s="215"/>
      <c r="Y22" s="214">
        <f>SUMIFS(Master!AT$8:AT$55,Master!$J$8:$J$55,'Summary Dept Wise'!$C22,Master!$M$8:$M$55,'Summary Dept Wise'!$E22,Master!$N$8:$N$55,'Summary Dept Wise'!$F22)</f>
        <v>0</v>
      </c>
      <c r="Z22" s="216">
        <f t="shared" ref="Z22:Z25" si="9">SUM(X22:Y22)</f>
        <v>0</v>
      </c>
      <c r="AA22" s="273">
        <f>SUMIFS(Master!AI$8:AI$55,Master!$J$8:$J$55,'Summary Dept Wise'!$C22,Master!$M$8:$M$55,'Summary Dept Wise'!$E22,Master!$N$8:$N$55,'Summary Dept Wise'!$F22,Master!$AV$8:$AV$55,"Paid")</f>
        <v>0</v>
      </c>
      <c r="AB22" s="273">
        <f>+Z22-AA22</f>
        <v>0</v>
      </c>
      <c r="AC22" s="273">
        <f>SUMIFS(Master!BF$8:BF$55,Master!$J$8:$J$55,'Summary Dept Wise'!$C22,Master!$M$8:$M$55,'Summary Dept Wise'!$E22,Master!$N$8:$N$55,'Summary Dept Wise'!$F22)</f>
        <v>0</v>
      </c>
    </row>
    <row r="23" spans="2:29" ht="13.8" hidden="1" x14ac:dyDescent="0.25">
      <c r="B23" s="212"/>
      <c r="C23" s="37" t="s">
        <v>148</v>
      </c>
      <c r="D23" s="209">
        <f>COUNTIFS(Master!$J$8:$J$55,'Summary Dept Wise'!$C23,Master!$M$8:$M$55,'Summary Dept Wise'!$E23,Master!$N$8:$N$55,'Summary Dept Wise'!$F23)</f>
        <v>0</v>
      </c>
      <c r="E23" s="213" t="s">
        <v>61</v>
      </c>
      <c r="F23" s="213" t="s">
        <v>59</v>
      </c>
      <c r="G23" s="214">
        <f>SUMIFS(Master!$P$8:$P$55,Master!$J$8:$J$55,'Summary Dept Wise'!$C23,Master!$M$8:$M$55,'Summary Dept Wise'!$E23,Master!$N$8:$N$55,'Summary Dept Wise'!$F23)</f>
        <v>0</v>
      </c>
      <c r="H23" s="214">
        <f>SUMIFS(Master!$U$8:$U$55,Master!$J$8:$J$55,'Summary Dept Wise'!$C23,Master!$M$8:$M$55,'Summary Dept Wise'!$E23,Master!$N$8:$N$55,'Summary Dept Wise'!$F23)</f>
        <v>0</v>
      </c>
      <c r="I23" s="214">
        <f>SUMIFS(Master!$V$8:$V$55,Master!$J$8:$J$55,'Summary Dept Wise'!$C23,Master!$M$8:$M$55,'Summary Dept Wise'!$E23,Master!$N$8:$N$55,'Summary Dept Wise'!$F23)</f>
        <v>0</v>
      </c>
      <c r="J23" s="214">
        <f>SUMIFS(Master!$X$8:$X$55,Master!$J$8:$J$55,'Summary Dept Wise'!$C23,Master!$M$8:$M$55,'Summary Dept Wise'!$E23,Master!$N$8:$N$55,'Summary Dept Wise'!$F23)</f>
        <v>0</v>
      </c>
      <c r="K23" s="214">
        <f>SUMIFS(Master!$Z$8:$Z$55,Master!$J$8:$J$55,'Summary Dept Wise'!$C23,Master!$M$8:$M$55,'Summary Dept Wise'!$E23,Master!$N$8:$N$55,'Summary Dept Wise'!$F23)</f>
        <v>0</v>
      </c>
      <c r="L23" s="214">
        <f>SUMIFS(Master!AC$8:AC$55,Master!$J$8:$J$55,'Summary Dept Wise'!$C23,Master!$M$8:$M$55,'Summary Dept Wise'!$E23,Master!$N$8:$N$55,'Summary Dept Wise'!$F23)</f>
        <v>0</v>
      </c>
      <c r="M23" s="215">
        <f>SUMIFS(Master!AD$8:AD$55,Master!$J$8:$J$55,'Summary Dept Wise'!$C23,Master!$M$8:$M$55,'Summary Dept Wise'!$E23,Master!$N$8:$N$55,'Summary Dept Wise'!$F23)</f>
        <v>0</v>
      </c>
      <c r="N23" s="214">
        <f>SUMIFS(Master!AE$8:AE$55,Master!$J$8:$J$55,'Summary Dept Wise'!$C23,Master!$M$8:$M$55,'Summary Dept Wise'!$E23,Master!$N$8:$N$55,'Summary Dept Wise'!$F23)</f>
        <v>0</v>
      </c>
      <c r="O23" s="214">
        <f>SUMIFS(Master!AF$8:AF$55,Master!$J$8:$J$55,'Summary Dept Wise'!$C23,Master!$M$8:$M$55,'Summary Dept Wise'!$E23,Master!$N$8:$N$55,'Summary Dept Wise'!$F23)</f>
        <v>0</v>
      </c>
      <c r="P23" s="214">
        <f>SUMIFS(Master!AG$8:AG$55,Master!$J$8:$J$55,'Summary Dept Wise'!$C23,Master!$M$8:$M$55,'Summary Dept Wise'!$E23,Master!$N$8:$N$55,'Summary Dept Wise'!$F23)</f>
        <v>0</v>
      </c>
      <c r="Q23" s="214">
        <f>SUMIFS(Master!AH$8:AH$55,Master!$J$8:$J$55,'Summary Dept Wise'!$C23,Master!$M$8:$M$55,'Summary Dept Wise'!$E23,Master!$N$8:$N$55,'Summary Dept Wise'!$F23)</f>
        <v>0</v>
      </c>
      <c r="R23" s="215">
        <f>SUMIFS(Master!AI$8:AI$55,Master!$J$8:$J$55,'Summary Dept Wise'!$C23,Master!$M$8:$M$55,'Summary Dept Wise'!$E23,Master!$N$8:$N$55,'Summary Dept Wise'!$F23)</f>
        <v>0</v>
      </c>
      <c r="S23" s="214">
        <f>SUMIFS(Master!AN$8:AN$55,Master!$J$8:$J$55,'Summary Dept Wise'!$C23,Master!$M$8:$M$55,'Summary Dept Wise'!$E23,Master!$N$8:$N$55,'Summary Dept Wise'!$F23)</f>
        <v>0</v>
      </c>
      <c r="T23" s="214">
        <f>SUMIFS(Master!AO$8:AO$55,Master!$J$8:$J$55,'Summary Dept Wise'!$C23,Master!$M$8:$M$55,'Summary Dept Wise'!$E23,Master!$N$8:$N$55,'Summary Dept Wise'!$F23)</f>
        <v>0</v>
      </c>
      <c r="U23" s="214">
        <f>SUMIFS(Master!AP$8:AP$55,Master!$J$8:$J$55,'Summary Dept Wise'!$C23,Master!$M$8:$M$55,'Summary Dept Wise'!$E23,Master!$N$8:$N$55,'Summary Dept Wise'!$F23)</f>
        <v>0</v>
      </c>
      <c r="V23" s="214">
        <f>SUMIFS(Master!AQ$8:AQ$55,Master!$J$8:$J$55,'Summary Dept Wise'!$C23,Master!$M$8:$M$55,'Summary Dept Wise'!$E23,Master!$N$8:$N$55,'Summary Dept Wise'!$F23)</f>
        <v>0</v>
      </c>
      <c r="W23" s="214">
        <f>SUMIFS(Master!AR$8:AR$55,Master!$J$8:$J$55,'Summary Dept Wise'!$C23,Master!$M$8:$M$55,'Summary Dept Wise'!$E23,Master!$N$8:$N$55,'Summary Dept Wise'!$F23)</f>
        <v>0</v>
      </c>
      <c r="X23" s="215"/>
      <c r="Y23" s="214">
        <f>SUMIFS(Master!AT$8:AT$55,Master!$J$8:$J$55,'Summary Dept Wise'!$C23,Master!$M$8:$M$55,'Summary Dept Wise'!$E23,Master!$N$8:$N$55,'Summary Dept Wise'!$F23)</f>
        <v>0</v>
      </c>
      <c r="Z23" s="216">
        <f t="shared" si="9"/>
        <v>0</v>
      </c>
      <c r="AA23" s="273">
        <f>SUMIFS(Master!AI$8:AI$55,Master!$J$8:$J$55,'Summary Dept Wise'!$C23,Master!$M$8:$M$55,'Summary Dept Wise'!$E23,Master!$N$8:$N$55,'Summary Dept Wise'!$F23,Master!$AV$8:$AV$55,"Paid")</f>
        <v>0</v>
      </c>
      <c r="AB23" s="273">
        <f>+Z23-AA23</f>
        <v>0</v>
      </c>
      <c r="AC23" s="273">
        <f>SUMIFS(Master!BF$8:BF$55,Master!$J$8:$J$55,'Summary Dept Wise'!$C23,Master!$M$8:$M$55,'Summary Dept Wise'!$E23,Master!$N$8:$N$55,'Summary Dept Wise'!$F23)</f>
        <v>0</v>
      </c>
    </row>
    <row r="24" spans="2:29" ht="13.8" hidden="1" x14ac:dyDescent="0.25">
      <c r="B24" s="212"/>
      <c r="C24" s="37" t="s">
        <v>147</v>
      </c>
      <c r="D24" s="209">
        <f>COUNTIFS(Master!$J$8:$J$55,'Summary Dept Wise'!$C24,Master!$M$8:$M$55,'Summary Dept Wise'!$E24,Master!$N$8:$N$55,'Summary Dept Wise'!$F24)</f>
        <v>0</v>
      </c>
      <c r="E24" s="213" t="s">
        <v>61</v>
      </c>
      <c r="F24" s="213" t="s">
        <v>59</v>
      </c>
      <c r="G24" s="214">
        <f>SUMIFS(Master!$P$8:$P$55,Master!$J$8:$J$55,'Summary Dept Wise'!$C24,Master!$M$8:$M$55,'Summary Dept Wise'!$E24,Master!$N$8:$N$55,'Summary Dept Wise'!$F24)</f>
        <v>0</v>
      </c>
      <c r="H24" s="214">
        <f>SUMIFS(Master!$U$8:$U$55,Master!$J$8:$J$55,'Summary Dept Wise'!$C24,Master!$M$8:$M$55,'Summary Dept Wise'!$E24,Master!$N$8:$N$55,'Summary Dept Wise'!$F24)</f>
        <v>0</v>
      </c>
      <c r="I24" s="214">
        <f>SUMIFS(Master!$V$8:$V$55,Master!$J$8:$J$55,'Summary Dept Wise'!$C24,Master!$M$8:$M$55,'Summary Dept Wise'!$E24,Master!$N$8:$N$55,'Summary Dept Wise'!$F24)</f>
        <v>0</v>
      </c>
      <c r="J24" s="214">
        <f>SUMIFS(Master!$X$8:$X$55,Master!$J$8:$J$55,'Summary Dept Wise'!$C24,Master!$M$8:$M$55,'Summary Dept Wise'!$E24,Master!$N$8:$N$55,'Summary Dept Wise'!$F24)</f>
        <v>0</v>
      </c>
      <c r="K24" s="214">
        <f>SUMIFS(Master!$Z$8:$Z$55,Master!$J$8:$J$55,'Summary Dept Wise'!$C24,Master!$M$8:$M$55,'Summary Dept Wise'!$E24,Master!$N$8:$N$55,'Summary Dept Wise'!$F24)</f>
        <v>0</v>
      </c>
      <c r="L24" s="214">
        <f>SUMIFS(Master!AC$8:AC$55,Master!$J$8:$J$55,'Summary Dept Wise'!$C24,Master!$M$8:$M$55,'Summary Dept Wise'!$E24,Master!$N$8:$N$55,'Summary Dept Wise'!$F24)</f>
        <v>0</v>
      </c>
      <c r="M24" s="215">
        <f>SUMIFS(Master!AD$8:AD$55,Master!$J$8:$J$55,'Summary Dept Wise'!$C24,Master!$M$8:$M$55,'Summary Dept Wise'!$E24,Master!$N$8:$N$55,'Summary Dept Wise'!$F24)</f>
        <v>0</v>
      </c>
      <c r="N24" s="214">
        <f>SUMIFS(Master!AE$8:AE$55,Master!$J$8:$J$55,'Summary Dept Wise'!$C24,Master!$M$8:$M$55,'Summary Dept Wise'!$E24,Master!$N$8:$N$55,'Summary Dept Wise'!$F24)</f>
        <v>0</v>
      </c>
      <c r="O24" s="214">
        <f>SUMIFS(Master!AF$8:AF$55,Master!$J$8:$J$55,'Summary Dept Wise'!$C24,Master!$M$8:$M$55,'Summary Dept Wise'!$E24,Master!$N$8:$N$55,'Summary Dept Wise'!$F24)</f>
        <v>0</v>
      </c>
      <c r="P24" s="214">
        <f>SUMIFS(Master!AG$8:AG$55,Master!$J$8:$J$55,'Summary Dept Wise'!$C24,Master!$M$8:$M$55,'Summary Dept Wise'!$E24,Master!$N$8:$N$55,'Summary Dept Wise'!$F24)</f>
        <v>0</v>
      </c>
      <c r="Q24" s="214">
        <f>SUMIFS(Master!AH$8:AH$55,Master!$J$8:$J$55,'Summary Dept Wise'!$C24,Master!$M$8:$M$55,'Summary Dept Wise'!$E24,Master!$N$8:$N$55,'Summary Dept Wise'!$F24)</f>
        <v>0</v>
      </c>
      <c r="R24" s="215">
        <f>SUMIFS(Master!AI$8:AI$55,Master!$J$8:$J$55,'Summary Dept Wise'!$C24,Master!$M$8:$M$55,'Summary Dept Wise'!$E24,Master!$N$8:$N$55,'Summary Dept Wise'!$F24)</f>
        <v>0</v>
      </c>
      <c r="S24" s="214">
        <f>SUMIFS(Master!AN$8:AN$55,Master!$J$8:$J$55,'Summary Dept Wise'!$C24,Master!$M$8:$M$55,'Summary Dept Wise'!$E24,Master!$N$8:$N$55,'Summary Dept Wise'!$F24)</f>
        <v>0</v>
      </c>
      <c r="T24" s="214">
        <f>SUMIFS(Master!AO$8:AO$55,Master!$J$8:$J$55,'Summary Dept Wise'!$C24,Master!$M$8:$M$55,'Summary Dept Wise'!$E24,Master!$N$8:$N$55,'Summary Dept Wise'!$F24)</f>
        <v>0</v>
      </c>
      <c r="U24" s="214">
        <f>SUMIFS(Master!AP$8:AP$55,Master!$J$8:$J$55,'Summary Dept Wise'!$C24,Master!$M$8:$M$55,'Summary Dept Wise'!$E24,Master!$N$8:$N$55,'Summary Dept Wise'!$F24)</f>
        <v>0</v>
      </c>
      <c r="V24" s="214">
        <f>SUMIFS(Master!AQ$8:AQ$55,Master!$J$8:$J$55,'Summary Dept Wise'!$C24,Master!$M$8:$M$55,'Summary Dept Wise'!$E24,Master!$N$8:$N$55,'Summary Dept Wise'!$F24)</f>
        <v>0</v>
      </c>
      <c r="W24" s="214">
        <f>SUMIFS(Master!AR$8:AR$55,Master!$J$8:$J$55,'Summary Dept Wise'!$C24,Master!$M$8:$M$55,'Summary Dept Wise'!$E24,Master!$N$8:$N$55,'Summary Dept Wise'!$F24)</f>
        <v>0</v>
      </c>
      <c r="X24" s="215">
        <f t="shared" ref="X24" si="10">SUM(S24:W24)</f>
        <v>0</v>
      </c>
      <c r="Y24" s="214">
        <f>SUMIFS(Master!AT$8:AT$55,Master!$J$8:$J$55,'Summary Dept Wise'!$C24,Master!$M$8:$M$55,'Summary Dept Wise'!$E24,Master!$N$8:$N$55,'Summary Dept Wise'!$F24)</f>
        <v>0</v>
      </c>
      <c r="Z24" s="216">
        <f t="shared" si="9"/>
        <v>0</v>
      </c>
      <c r="AA24" s="273">
        <f>SUMIFS(Master!AI$8:AI$55,Master!$J$8:$J$55,'Summary Dept Wise'!$C24,Master!$M$8:$M$55,'Summary Dept Wise'!$E24,Master!$N$8:$N$55,'Summary Dept Wise'!$F24,Master!$AV$8:$AV$55,"Paid")</f>
        <v>0</v>
      </c>
      <c r="AB24" s="273">
        <f>+Z24-AA24</f>
        <v>0</v>
      </c>
      <c r="AC24" s="273">
        <f>SUMIFS(Master!BF$8:BF$55,Master!$J$8:$J$55,'Summary Dept Wise'!$C24,Master!$M$8:$M$55,'Summary Dept Wise'!$E24,Master!$N$8:$N$55,'Summary Dept Wise'!$F24)</f>
        <v>0</v>
      </c>
    </row>
    <row r="25" spans="2:29" ht="13.8" hidden="1" x14ac:dyDescent="0.25">
      <c r="B25" s="212"/>
      <c r="C25" s="37" t="s">
        <v>63</v>
      </c>
      <c r="D25" s="209">
        <f>COUNTIFS(Master!$J$8:$J$55,'Summary Dept Wise'!$C25,Master!$M$8:$M$55,'Summary Dept Wise'!$E25,Master!$N$8:$N$55,'Summary Dept Wise'!$F25)</f>
        <v>0</v>
      </c>
      <c r="E25" s="213" t="s">
        <v>61</v>
      </c>
      <c r="F25" s="213" t="s">
        <v>59</v>
      </c>
      <c r="G25" s="214">
        <f>SUMIFS(Master!$P$8:$P$55,Master!$J$8:$J$55,'Summary Dept Wise'!$C25,Master!$M$8:$M$55,'Summary Dept Wise'!$E25,Master!$N$8:$N$55,'Summary Dept Wise'!$F25)</f>
        <v>0</v>
      </c>
      <c r="H25" s="214">
        <f>SUMIFS(Master!$U$8:$U$55,Master!$J$8:$J$55,'Summary Dept Wise'!$C25,Master!$M$8:$M$55,'Summary Dept Wise'!$E25,Master!$N$8:$N$55,'Summary Dept Wise'!$F25)</f>
        <v>0</v>
      </c>
      <c r="I25" s="214">
        <f>SUMIFS(Master!$V$8:$V$55,Master!$J$8:$J$55,'Summary Dept Wise'!$C25,Master!$M$8:$M$55,'Summary Dept Wise'!$E25,Master!$N$8:$N$55,'Summary Dept Wise'!$F25)</f>
        <v>0</v>
      </c>
      <c r="J25" s="214">
        <f>SUMIFS(Master!$X$8:$X$55,Master!$J$8:$J$55,'Summary Dept Wise'!$C25,Master!$M$8:$M$55,'Summary Dept Wise'!$E25,Master!$N$8:$N$55,'Summary Dept Wise'!$F25)</f>
        <v>0</v>
      </c>
      <c r="K25" s="214">
        <f>SUMIFS(Master!$Z$8:$Z$55,Master!$J$8:$J$55,'Summary Dept Wise'!$C25,Master!$M$8:$M$55,'Summary Dept Wise'!$E25,Master!$N$8:$N$55,'Summary Dept Wise'!$F25)</f>
        <v>0</v>
      </c>
      <c r="L25" s="214">
        <f>SUMIFS(Master!AC$8:AC$55,Master!$J$8:$J$55,'Summary Dept Wise'!$C25,Master!$M$8:$M$55,'Summary Dept Wise'!$E25,Master!$N$8:$N$55,'Summary Dept Wise'!$F25)</f>
        <v>0</v>
      </c>
      <c r="M25" s="215">
        <f>SUMIFS(Master!AD$8:AD$55,Master!$J$8:$J$55,'Summary Dept Wise'!$C25,Master!$M$8:$M$55,'Summary Dept Wise'!$E25,Master!$N$8:$N$55,'Summary Dept Wise'!$F25)</f>
        <v>0</v>
      </c>
      <c r="N25" s="214">
        <f>SUMIFS(Master!AE$8:AE$55,Master!$J$8:$J$55,'Summary Dept Wise'!$C25,Master!$M$8:$M$55,'Summary Dept Wise'!$E25,Master!$N$8:$N$55,'Summary Dept Wise'!$F25)</f>
        <v>0</v>
      </c>
      <c r="O25" s="214">
        <f>SUMIFS(Master!AF$8:AF$55,Master!$J$8:$J$55,'Summary Dept Wise'!$C25,Master!$M$8:$M$55,'Summary Dept Wise'!$E25,Master!$N$8:$N$55,'Summary Dept Wise'!$F25)</f>
        <v>0</v>
      </c>
      <c r="P25" s="214">
        <f>SUMIFS(Master!AG$8:AG$55,Master!$J$8:$J$55,'Summary Dept Wise'!$C25,Master!$M$8:$M$55,'Summary Dept Wise'!$E25,Master!$N$8:$N$55,'Summary Dept Wise'!$F25)</f>
        <v>0</v>
      </c>
      <c r="Q25" s="214">
        <f>SUMIFS(Master!AH$8:AH$55,Master!$J$8:$J$55,'Summary Dept Wise'!$C25,Master!$M$8:$M$55,'Summary Dept Wise'!$E25,Master!$N$8:$N$55,'Summary Dept Wise'!$F25)</f>
        <v>0</v>
      </c>
      <c r="R25" s="215">
        <f>SUMIFS(Master!AI$8:AI$55,Master!$J$8:$J$55,'Summary Dept Wise'!$C25,Master!$M$8:$M$55,'Summary Dept Wise'!$E25,Master!$N$8:$N$55,'Summary Dept Wise'!$F25)</f>
        <v>0</v>
      </c>
      <c r="S25" s="214">
        <f>SUMIFS(Master!AN$8:AN$55,Master!$J$8:$J$55,'Summary Dept Wise'!$C25,Master!$M$8:$M$55,'Summary Dept Wise'!$E25,Master!$N$8:$N$55,'Summary Dept Wise'!$F25)</f>
        <v>0</v>
      </c>
      <c r="T25" s="214">
        <f>SUMIFS(Master!AO$8:AO$55,Master!$J$8:$J$55,'Summary Dept Wise'!$C25,Master!$M$8:$M$55,'Summary Dept Wise'!$E25,Master!$N$8:$N$55,'Summary Dept Wise'!$F25)</f>
        <v>0</v>
      </c>
      <c r="U25" s="214">
        <f>SUMIFS(Master!AP$8:AP$55,Master!$J$8:$J$55,'Summary Dept Wise'!$C25,Master!$M$8:$M$55,'Summary Dept Wise'!$E25,Master!$N$8:$N$55,'Summary Dept Wise'!$F25)</f>
        <v>0</v>
      </c>
      <c r="V25" s="214">
        <f>SUMIFS(Master!AQ$8:AQ$55,Master!$J$8:$J$55,'Summary Dept Wise'!$C25,Master!$M$8:$M$55,'Summary Dept Wise'!$E25,Master!$N$8:$N$55,'Summary Dept Wise'!$F25)</f>
        <v>0</v>
      </c>
      <c r="W25" s="214">
        <f>SUMIFS(Master!AR$8:AR$55,Master!$J$8:$J$55,'Summary Dept Wise'!$C25,Master!$M$8:$M$55,'Summary Dept Wise'!$E25,Master!$N$8:$N$55,'Summary Dept Wise'!$F25)</f>
        <v>0</v>
      </c>
      <c r="X25" s="215"/>
      <c r="Y25" s="214">
        <f>SUMIFS(Master!AT$8:AT$55,Master!$J$8:$J$55,'Summary Dept Wise'!$C25,Master!$M$8:$M$55,'Summary Dept Wise'!$E25,Master!$N$8:$N$55,'Summary Dept Wise'!$F25)</f>
        <v>0</v>
      </c>
      <c r="Z25" s="216">
        <f t="shared" si="9"/>
        <v>0</v>
      </c>
      <c r="AA25" s="273">
        <f>SUMIFS(Master!AI$8:AI$55,Master!$J$8:$J$55,'Summary Dept Wise'!$C25,Master!$M$8:$M$55,'Summary Dept Wise'!$E25,Master!$N$8:$N$55,'Summary Dept Wise'!$F25,Master!$AV$8:$AV$55,"Paid")</f>
        <v>0</v>
      </c>
      <c r="AB25" s="273">
        <f>+Z25-AA25</f>
        <v>0</v>
      </c>
      <c r="AC25" s="273">
        <f>SUMIFS(Master!BF$8:BF$55,Master!$J$8:$J$55,'Summary Dept Wise'!$C25,Master!$M$8:$M$55,'Summary Dept Wise'!$E25,Master!$N$8:$N$55,'Summary Dept Wise'!$F25)</f>
        <v>0</v>
      </c>
    </row>
    <row r="26" spans="2:29" ht="13.8" hidden="1" x14ac:dyDescent="0.25">
      <c r="B26" s="238"/>
      <c r="C26" s="239"/>
      <c r="D26" s="240">
        <f>SUBTOTAL(9,D22:D25)</f>
        <v>0</v>
      </c>
      <c r="E26" s="241"/>
      <c r="F26" s="463">
        <f>G26/$G$69</f>
        <v>0</v>
      </c>
      <c r="G26" s="242">
        <f>SUBTOTAL(9,G22:G25)</f>
        <v>0</v>
      </c>
      <c r="H26" s="242">
        <f>SUBTOTAL(9,H22:H25)</f>
        <v>0</v>
      </c>
      <c r="I26" s="242">
        <f t="shared" ref="I26:Z26" si="11">SUBTOTAL(9,I22:I25)</f>
        <v>0</v>
      </c>
      <c r="J26" s="242">
        <f t="shared" si="11"/>
        <v>0</v>
      </c>
      <c r="K26" s="242">
        <f t="shared" si="11"/>
        <v>0</v>
      </c>
      <c r="L26" s="242">
        <f t="shared" si="11"/>
        <v>0</v>
      </c>
      <c r="M26" s="230">
        <f>SUBTOTAL(9,M22:M25)</f>
        <v>0</v>
      </c>
      <c r="N26" s="242">
        <f t="shared" si="11"/>
        <v>0</v>
      </c>
      <c r="O26" s="242">
        <f t="shared" si="11"/>
        <v>0</v>
      </c>
      <c r="P26" s="242">
        <f t="shared" si="11"/>
        <v>0</v>
      </c>
      <c r="Q26" s="242">
        <f t="shared" si="11"/>
        <v>0</v>
      </c>
      <c r="R26" s="230">
        <f>SUBTOTAL(9,R22:R25)</f>
        <v>0</v>
      </c>
      <c r="S26" s="243">
        <f t="shared" si="11"/>
        <v>0</v>
      </c>
      <c r="T26" s="242">
        <f t="shared" si="11"/>
        <v>0</v>
      </c>
      <c r="U26" s="242">
        <f t="shared" si="11"/>
        <v>0</v>
      </c>
      <c r="V26" s="243">
        <f t="shared" si="11"/>
        <v>0</v>
      </c>
      <c r="W26" s="243">
        <f t="shared" si="11"/>
        <v>0</v>
      </c>
      <c r="X26" s="243">
        <f t="shared" si="11"/>
        <v>0</v>
      </c>
      <c r="Y26" s="242">
        <f t="shared" si="11"/>
        <v>0</v>
      </c>
      <c r="Z26" s="244">
        <f t="shared" si="11"/>
        <v>0</v>
      </c>
      <c r="AA26" s="244">
        <f>SUBTOTAL(9,AA22:AA25)</f>
        <v>0</v>
      </c>
      <c r="AB26" s="244">
        <f>SUBTOTAL(9,AB22:AB25)</f>
        <v>0</v>
      </c>
      <c r="AC26" s="244">
        <f>SUBTOTAL(9,AC22:AC25)</f>
        <v>0</v>
      </c>
    </row>
    <row r="27" spans="2:29" ht="13.8" hidden="1" x14ac:dyDescent="0.25">
      <c r="B27" s="212"/>
      <c r="C27" s="37"/>
      <c r="D27" s="245"/>
      <c r="E27" s="213"/>
      <c r="F27" s="213"/>
      <c r="G27" s="246"/>
      <c r="H27" s="246"/>
      <c r="I27" s="246"/>
      <c r="J27" s="246"/>
      <c r="K27" s="246"/>
      <c r="L27" s="246"/>
      <c r="M27" s="247"/>
      <c r="N27" s="246"/>
      <c r="O27" s="246"/>
      <c r="P27" s="246"/>
      <c r="Q27" s="246"/>
      <c r="R27" s="247"/>
      <c r="S27" s="246"/>
      <c r="T27" s="246"/>
      <c r="U27" s="246"/>
      <c r="V27" s="246"/>
      <c r="W27" s="246"/>
      <c r="X27" s="247"/>
      <c r="Y27" s="246"/>
      <c r="Z27" s="246"/>
      <c r="AA27" s="269"/>
      <c r="AB27" s="269"/>
      <c r="AC27" s="269"/>
    </row>
    <row r="28" spans="2:29" ht="13.8" x14ac:dyDescent="0.25">
      <c r="B28" s="217"/>
      <c r="C28" s="218" t="s">
        <v>155</v>
      </c>
      <c r="D28" s="297">
        <f>SUBTOTAL(9,D14:D27)</f>
        <v>2</v>
      </c>
      <c r="E28" s="220"/>
      <c r="F28" s="464">
        <f>G28/$G$69</f>
        <v>8.5616438356164379E-2</v>
      </c>
      <c r="G28" s="221">
        <f t="shared" ref="G28:Z28" si="12">SUBTOTAL(9,G14:G27)</f>
        <v>275000</v>
      </c>
      <c r="H28" s="221">
        <f t="shared" si="12"/>
        <v>275000</v>
      </c>
      <c r="I28" s="221">
        <f t="shared" si="12"/>
        <v>0</v>
      </c>
      <c r="J28" s="221">
        <f t="shared" si="12"/>
        <v>0</v>
      </c>
      <c r="K28" s="221">
        <f t="shared" si="12"/>
        <v>28571.428571428569</v>
      </c>
      <c r="L28" s="221">
        <f t="shared" si="12"/>
        <v>0</v>
      </c>
      <c r="M28" s="222">
        <f t="shared" si="12"/>
        <v>246428.57142857142</v>
      </c>
      <c r="N28" s="221">
        <f t="shared" si="12"/>
        <v>0</v>
      </c>
      <c r="O28" s="221">
        <f t="shared" si="12"/>
        <v>0</v>
      </c>
      <c r="P28" s="221">
        <f t="shared" si="12"/>
        <v>0</v>
      </c>
      <c r="Q28" s="221">
        <f t="shared" si="12"/>
        <v>0</v>
      </c>
      <c r="R28" s="222">
        <f t="shared" si="12"/>
        <v>246428.57142857142</v>
      </c>
      <c r="S28" s="221">
        <f t="shared" si="12"/>
        <v>246428.57142857142</v>
      </c>
      <c r="T28" s="221">
        <f t="shared" si="12"/>
        <v>0</v>
      </c>
      <c r="U28" s="221">
        <f t="shared" si="12"/>
        <v>0</v>
      </c>
      <c r="V28" s="221">
        <f t="shared" si="12"/>
        <v>0</v>
      </c>
      <c r="W28" s="221">
        <f t="shared" si="12"/>
        <v>0</v>
      </c>
      <c r="X28" s="222"/>
      <c r="Y28" s="221">
        <f t="shared" si="12"/>
        <v>0</v>
      </c>
      <c r="Z28" s="221">
        <f t="shared" si="12"/>
        <v>246428.57142857142</v>
      </c>
      <c r="AA28" s="277">
        <f>SUBTOTAL(9,AA14:AA27)</f>
        <v>0</v>
      </c>
      <c r="AB28" s="277">
        <f>SUBTOTAL(9,AB14:AB27)</f>
        <v>246428.57142857142</v>
      </c>
      <c r="AC28" s="277">
        <f>SUBTOTAL(9,AC14:AC27)</f>
        <v>0</v>
      </c>
    </row>
    <row r="29" spans="2:29" ht="13.8" x14ac:dyDescent="0.25">
      <c r="B29" s="225"/>
      <c r="C29" s="226" t="s">
        <v>154</v>
      </c>
      <c r="D29" s="229"/>
      <c r="E29" s="228"/>
      <c r="F29" s="228"/>
      <c r="G29" s="229">
        <f>+G28/$H$1</f>
        <v>996.37681159420288</v>
      </c>
      <c r="H29" s="229">
        <f>+H28/$H$1</f>
        <v>996.37681159420288</v>
      </c>
      <c r="I29" s="229">
        <f t="shared" ref="I29:Y29" si="13">+I28/$H$1</f>
        <v>0</v>
      </c>
      <c r="J29" s="229">
        <f t="shared" si="13"/>
        <v>0</v>
      </c>
      <c r="K29" s="229">
        <f t="shared" si="13"/>
        <v>103.51966873706003</v>
      </c>
      <c r="L29" s="229">
        <f t="shared" si="13"/>
        <v>0</v>
      </c>
      <c r="M29" s="230">
        <f t="shared" si="13"/>
        <v>892.85714285714278</v>
      </c>
      <c r="N29" s="229">
        <f t="shared" si="13"/>
        <v>0</v>
      </c>
      <c r="O29" s="229">
        <f t="shared" si="13"/>
        <v>0</v>
      </c>
      <c r="P29" s="229">
        <f t="shared" si="13"/>
        <v>0</v>
      </c>
      <c r="Q29" s="229">
        <f t="shared" si="13"/>
        <v>0</v>
      </c>
      <c r="R29" s="230">
        <f t="shared" si="13"/>
        <v>892.85714285714278</v>
      </c>
      <c r="S29" s="229">
        <f t="shared" si="13"/>
        <v>892.85714285714278</v>
      </c>
      <c r="T29" s="229">
        <f t="shared" si="13"/>
        <v>0</v>
      </c>
      <c r="U29" s="229">
        <f t="shared" si="13"/>
        <v>0</v>
      </c>
      <c r="V29" s="229">
        <f t="shared" si="13"/>
        <v>0</v>
      </c>
      <c r="W29" s="229">
        <f t="shared" si="13"/>
        <v>0</v>
      </c>
      <c r="X29" s="230"/>
      <c r="Y29" s="229">
        <f t="shared" si="13"/>
        <v>0</v>
      </c>
      <c r="Z29" s="229">
        <f>+Z28/$H$1</f>
        <v>892.85714285714278</v>
      </c>
      <c r="AA29" s="242">
        <f>+AA28/$H$1</f>
        <v>0</v>
      </c>
      <c r="AB29" s="242">
        <f>+AB28/$H$1</f>
        <v>892.85714285714278</v>
      </c>
      <c r="AC29" s="242">
        <f>+AC28/$H$1</f>
        <v>0</v>
      </c>
    </row>
    <row r="30" spans="2:29" ht="13.8" x14ac:dyDescent="0.25">
      <c r="B30" s="231"/>
      <c r="C30" s="232"/>
      <c r="D30" s="233"/>
      <c r="E30" s="234"/>
      <c r="F30" s="234"/>
      <c r="G30" s="235"/>
      <c r="H30" s="235"/>
      <c r="I30" s="235"/>
      <c r="J30" s="235"/>
      <c r="K30" s="235"/>
      <c r="L30" s="235"/>
      <c r="M30" s="236"/>
      <c r="N30" s="235"/>
      <c r="O30" s="235"/>
      <c r="P30" s="235"/>
      <c r="Q30" s="235"/>
      <c r="R30" s="236"/>
      <c r="S30" s="232"/>
      <c r="T30" s="232"/>
      <c r="U30" s="232"/>
      <c r="V30" s="232"/>
      <c r="W30" s="232"/>
      <c r="X30" s="236"/>
      <c r="Y30" s="232"/>
      <c r="Z30" s="237"/>
      <c r="AA30" s="275"/>
      <c r="AB30" s="275"/>
      <c r="AC30" s="275"/>
    </row>
    <row r="31" spans="2:29" ht="13.8" x14ac:dyDescent="0.25">
      <c r="B31" s="207" t="s">
        <v>96</v>
      </c>
      <c r="C31" s="208"/>
      <c r="D31" s="209"/>
      <c r="E31" s="213"/>
      <c r="F31" s="213"/>
      <c r="G31" s="214"/>
      <c r="H31" s="214"/>
      <c r="I31" s="214"/>
      <c r="J31" s="214"/>
      <c r="K31" s="214"/>
      <c r="L31" s="214"/>
      <c r="M31" s="215"/>
      <c r="N31" s="214"/>
      <c r="O31" s="214"/>
      <c r="P31" s="214"/>
      <c r="Q31" s="214"/>
      <c r="R31" s="215"/>
      <c r="S31" s="37"/>
      <c r="T31" s="37"/>
      <c r="U31" s="37"/>
      <c r="V31" s="37"/>
      <c r="W31" s="37"/>
      <c r="X31" s="215"/>
      <c r="Y31" s="37"/>
      <c r="Z31" s="211"/>
      <c r="AA31" s="272"/>
      <c r="AB31" s="272"/>
      <c r="AC31" s="272"/>
    </row>
    <row r="32" spans="2:29" ht="13.8" x14ac:dyDescent="0.25">
      <c r="B32" s="249" t="s">
        <v>97</v>
      </c>
      <c r="C32" s="37"/>
      <c r="D32" s="209"/>
      <c r="E32" s="213"/>
      <c r="F32" s="213"/>
      <c r="G32" s="214"/>
      <c r="H32" s="214"/>
      <c r="I32" s="214"/>
      <c r="J32" s="214"/>
      <c r="K32" s="214"/>
      <c r="L32" s="214"/>
      <c r="M32" s="215"/>
      <c r="N32" s="214"/>
      <c r="O32" s="214"/>
      <c r="P32" s="214"/>
      <c r="Q32" s="214"/>
      <c r="R32" s="215"/>
      <c r="S32" s="37"/>
      <c r="T32" s="37"/>
      <c r="U32" s="37"/>
      <c r="V32" s="37"/>
      <c r="W32" s="37"/>
      <c r="X32" s="215"/>
      <c r="Y32" s="37"/>
      <c r="Z32" s="211"/>
      <c r="AA32" s="272"/>
      <c r="AB32" s="272"/>
      <c r="AC32" s="272"/>
    </row>
    <row r="33" spans="2:29" ht="13.8" x14ac:dyDescent="0.25">
      <c r="B33" s="212"/>
      <c r="C33" s="37" t="s">
        <v>40</v>
      </c>
      <c r="D33" s="209">
        <f>COUNTIFS(Master!$J$8:$J$55,'Summary Dept Wise'!$C33,Master!$M$8:$M$55,'Summary Dept Wise'!$E33,Master!$N$8:$N$55,'Summary Dept Wise'!$F33)</f>
        <v>8</v>
      </c>
      <c r="E33" s="213" t="s">
        <v>57</v>
      </c>
      <c r="F33" s="213" t="s">
        <v>59</v>
      </c>
      <c r="G33" s="214">
        <f>SUMIFS(Master!$P$8:$P$55,Master!$J$8:$J$55,'Summary Dept Wise'!$C33,Master!$M$8:$M$55,'Summary Dept Wise'!$E33,Master!$N$8:$N$55,'Summary Dept Wise'!$F33)</f>
        <v>240000</v>
      </c>
      <c r="H33" s="214">
        <f>SUMIFS(Master!$U$8:$U$55,Master!$J$8:$J$55,'Summary Dept Wise'!$C33,Master!$M$8:$M$55,'Summary Dept Wise'!$E33,Master!$N$8:$N$55,'Summary Dept Wise'!$F33)</f>
        <v>240000</v>
      </c>
      <c r="I33" s="214">
        <f>SUMIFS(Master!$V$8:$V$55,Master!$J$8:$J$55,'Summary Dept Wise'!$C33,Master!$M$8:$M$55,'Summary Dept Wise'!$E33,Master!$N$8:$N$55,'Summary Dept Wise'!$F33)</f>
        <v>0</v>
      </c>
      <c r="J33" s="214">
        <f>SUMIFS(Master!$X$8:$X$55,Master!$J$8:$J$55,'Summary Dept Wise'!$C33,Master!$M$8:$M$55,'Summary Dept Wise'!$E33,Master!$N$8:$N$55,'Summary Dept Wise'!$F33)</f>
        <v>0</v>
      </c>
      <c r="K33" s="214">
        <f>SUMIFS(Master!$Z$8:$Z$55,Master!$J$8:$J$55,'Summary Dept Wise'!$C33,Master!$M$8:$M$55,'Summary Dept Wise'!$E33,Master!$N$8:$N$55,'Summary Dept Wise'!$F33)</f>
        <v>18421.052631578947</v>
      </c>
      <c r="L33" s="214">
        <f>SUMIFS(Master!AC$8:AC$55,Master!$J$8:$J$55,'Summary Dept Wise'!$C33,Master!$M$8:$M$55,'Summary Dept Wise'!$E33,Master!$N$8:$N$55,'Summary Dept Wise'!$F33)</f>
        <v>0</v>
      </c>
      <c r="M33" s="215">
        <f>SUMIFS(Master!AD$8:AD$55,Master!$J$8:$J$55,'Summary Dept Wise'!$C33,Master!$M$8:$M$55,'Summary Dept Wise'!$E33,Master!$N$8:$N$55,'Summary Dept Wise'!$F33)</f>
        <v>221578.94736842107</v>
      </c>
      <c r="N33" s="214">
        <f>SUMIFS(Master!AE$8:AE$55,Master!$J$8:$J$55,'Summary Dept Wise'!$C33,Master!$M$8:$M$55,'Summary Dept Wise'!$E33,Master!$N$8:$N$55,'Summary Dept Wise'!$F33)</f>
        <v>0</v>
      </c>
      <c r="O33" s="214">
        <f>SUMIFS(Master!AF$8:AF$55,Master!$J$8:$J$55,'Summary Dept Wise'!$C33,Master!$M$8:$M$55,'Summary Dept Wise'!$E33,Master!$N$8:$N$55,'Summary Dept Wise'!$F33)</f>
        <v>0</v>
      </c>
      <c r="P33" s="214">
        <f>SUMIFS(Master!AG$8:AG$55,Master!$J$8:$J$55,'Summary Dept Wise'!$C33,Master!$M$8:$M$55,'Summary Dept Wise'!$E33,Master!$N$8:$N$55,'Summary Dept Wise'!$F33)</f>
        <v>0</v>
      </c>
      <c r="Q33" s="214">
        <f>SUMIFS(Master!AH$8:AH$55,Master!$J$8:$J$55,'Summary Dept Wise'!$C33,Master!$M$8:$M$55,'Summary Dept Wise'!$E33,Master!$N$8:$N$55,'Summary Dept Wise'!$F33)</f>
        <v>5000</v>
      </c>
      <c r="R33" s="215">
        <f>SUMIFS(Master!AI$8:AI$55,Master!$J$8:$J$55,'Summary Dept Wise'!$C33,Master!$M$8:$M$55,'Summary Dept Wise'!$E33,Master!$N$8:$N$55,'Summary Dept Wise'!$F33)</f>
        <v>216578.94736842107</v>
      </c>
      <c r="S33" s="214">
        <f>SUMIFS(Master!AN$8:AN$55,Master!$J$8:$J$55,'Summary Dept Wise'!$C33,Master!$M$8:$M$55,'Summary Dept Wise'!$E33,Master!$N$8:$N$55,'Summary Dept Wise'!$F33)</f>
        <v>145000</v>
      </c>
      <c r="T33" s="214">
        <f>SUMIFS(Master!AO$8:AO$55,Master!$J$8:$J$55,'Summary Dept Wise'!$C33,Master!$M$8:$M$55,'Summary Dept Wise'!$E33,Master!$N$8:$N$55,'Summary Dept Wise'!$F33)</f>
        <v>0</v>
      </c>
      <c r="U33" s="214">
        <f>SUMIFS(Master!AP$8:AP$55,Master!$J$8:$J$55,'Summary Dept Wise'!$C33,Master!$M$8:$M$55,'Summary Dept Wise'!$E33,Master!$N$8:$N$55,'Summary Dept Wise'!$F33)</f>
        <v>0</v>
      </c>
      <c r="V33" s="214">
        <f>SUMIFS(Master!AQ$8:AQ$55,Master!$J$8:$J$55,'Summary Dept Wise'!$C33,Master!$M$8:$M$55,'Summary Dept Wise'!$E33,Master!$N$8:$N$55,'Summary Dept Wise'!$F33)</f>
        <v>40000</v>
      </c>
      <c r="W33" s="214">
        <f>SUMIFS(Master!AR$8:AR$55,Master!$J$8:$J$55,'Summary Dept Wise'!$C33,Master!$M$8:$M$55,'Summary Dept Wise'!$E33,Master!$N$8:$N$55,'Summary Dept Wise'!$F33)</f>
        <v>31578.947368421053</v>
      </c>
      <c r="X33" s="215">
        <f t="shared" ref="X33:X35" si="14">SUM(S33:W33)</f>
        <v>216578.94736842107</v>
      </c>
      <c r="Y33" s="214">
        <f>SUMIFS(Master!AT$8:AT$55,Master!$J$8:$J$55,'Summary Dept Wise'!$C33,Master!$M$8:$M$55,'Summary Dept Wise'!$E33,Master!$N$8:$N$55,'Summary Dept Wise'!$F33)</f>
        <v>0</v>
      </c>
      <c r="Z33" s="216">
        <f t="shared" ref="Z33:Z39" si="15">SUM(X33:Y33)</f>
        <v>216578.94736842107</v>
      </c>
      <c r="AA33" s="273">
        <f>SUMIFS(Master!AI$8:AI$55,Master!$J$8:$J$55,'Summary Dept Wise'!$C33,Master!$M$8:$M$55,'Summary Dept Wise'!$E33,Master!$N$8:$N$55,'Summary Dept Wise'!$F33,Master!$AV$8:$AV$55,"Paid")</f>
        <v>161578.94736842107</v>
      </c>
      <c r="AB33" s="273">
        <f t="shared" ref="AB33:AB39" si="16">+Z33-AA33</f>
        <v>55000</v>
      </c>
      <c r="AC33" s="273">
        <f>SUMIFS(Master!BF$8:BF$55,Master!$J$8:$J$55,'Summary Dept Wise'!$C33,Master!$M$8:$M$55,'Summary Dept Wise'!$E33,Master!$N$8:$N$55,'Summary Dept Wise'!$F33)</f>
        <v>0</v>
      </c>
    </row>
    <row r="34" spans="2:29" ht="13.8" x14ac:dyDescent="0.25">
      <c r="B34" s="212"/>
      <c r="C34" s="37" t="s">
        <v>578</v>
      </c>
      <c r="D34" s="209">
        <f>COUNTIFS(Master!$J$8:$J$55,'Summary Dept Wise'!$C34,Master!$M$8:$M$55,'Summary Dept Wise'!$E34,Master!$N$8:$N$55,'Summary Dept Wise'!$F34)</f>
        <v>4</v>
      </c>
      <c r="E34" s="213" t="s">
        <v>57</v>
      </c>
      <c r="F34" s="213" t="s">
        <v>59</v>
      </c>
      <c r="G34" s="214">
        <f>SUMIFS(Master!$P$8:$P$55,Master!$J$8:$J$55,'Summary Dept Wise'!$C34,Master!$M$8:$M$55,'Summary Dept Wise'!$E34,Master!$N$8:$N$55,'Summary Dept Wise'!$F34)</f>
        <v>130000</v>
      </c>
      <c r="H34" s="214">
        <f>SUMIFS(Master!$U$8:$U$55,Master!$J$8:$J$55,'Summary Dept Wise'!$C34,Master!$M$8:$M$55,'Summary Dept Wise'!$E34,Master!$N$8:$N$55,'Summary Dept Wise'!$F34)</f>
        <v>130000</v>
      </c>
      <c r="I34" s="214">
        <f>SUMIFS(Master!$V$8:$V$55,Master!$J$8:$J$55,'Summary Dept Wise'!$C34,Master!$M$8:$M$55,'Summary Dept Wise'!$E34,Master!$N$8:$N$55,'Summary Dept Wise'!$F34)</f>
        <v>0</v>
      </c>
      <c r="J34" s="214">
        <f>SUMIFS(Master!$X$8:$X$55,Master!$J$8:$J$55,'Summary Dept Wise'!$C34,Master!$M$8:$M$55,'Summary Dept Wise'!$E34,Master!$N$8:$N$55,'Summary Dept Wise'!$F34)</f>
        <v>0</v>
      </c>
      <c r="K34" s="214">
        <f>SUMIFS(Master!$Z$8:$Z$55,Master!$J$8:$J$55,'Summary Dept Wise'!$C34,Master!$M$8:$M$55,'Summary Dept Wise'!$E34,Master!$N$8:$N$55,'Summary Dept Wise'!$F34)</f>
        <v>32368.42105263158</v>
      </c>
      <c r="L34" s="214">
        <f>SUMIFS(Master!AC$8:AC$55,Master!$J$8:$J$55,'Summary Dept Wise'!$C34,Master!$M$8:$M$55,'Summary Dept Wise'!$E34,Master!$N$8:$N$55,'Summary Dept Wise'!$F34)</f>
        <v>2192.9824561403511</v>
      </c>
      <c r="M34" s="215">
        <f>SUMIFS(Master!AD$8:AD$55,Master!$J$8:$J$55,'Summary Dept Wise'!$C34,Master!$M$8:$M$55,'Summary Dept Wise'!$E34,Master!$N$8:$N$55,'Summary Dept Wise'!$F34)</f>
        <v>95438.596491228061</v>
      </c>
      <c r="N34" s="214">
        <f>SUMIFS(Master!AE$8:AE$55,Master!$J$8:$J$55,'Summary Dept Wise'!$C34,Master!$M$8:$M$55,'Summary Dept Wise'!$E34,Master!$N$8:$N$55,'Summary Dept Wise'!$F34)</f>
        <v>0</v>
      </c>
      <c r="O34" s="214">
        <f>SUMIFS(Master!AF$8:AF$55,Master!$J$8:$J$55,'Summary Dept Wise'!$C34,Master!$M$8:$M$55,'Summary Dept Wise'!$E34,Master!$N$8:$N$55,'Summary Dept Wise'!$F34)</f>
        <v>0</v>
      </c>
      <c r="P34" s="214">
        <f>SUMIFS(Master!AG$8:AG$55,Master!$J$8:$J$55,'Summary Dept Wise'!$C34,Master!$M$8:$M$55,'Summary Dept Wise'!$E34,Master!$N$8:$N$55,'Summary Dept Wise'!$F34)</f>
        <v>0</v>
      </c>
      <c r="Q34" s="214">
        <f>SUMIFS(Master!AH$8:AH$55,Master!$J$8:$J$55,'Summary Dept Wise'!$C34,Master!$M$8:$M$55,'Summary Dept Wise'!$E34,Master!$N$8:$N$55,'Summary Dept Wise'!$F34)</f>
        <v>0</v>
      </c>
      <c r="R34" s="215">
        <f>SUMIFS(Master!AI$8:AI$55,Master!$J$8:$J$55,'Summary Dept Wise'!$C34,Master!$M$8:$M$55,'Summary Dept Wise'!$E34,Master!$N$8:$N$55,'Summary Dept Wise'!$F34)</f>
        <v>95438.596491228061</v>
      </c>
      <c r="S34" s="214">
        <f>SUMIFS(Master!AN$8:AN$55,Master!$J$8:$J$55,'Summary Dept Wise'!$C34,Master!$M$8:$M$55,'Summary Dept Wise'!$E34,Master!$N$8:$N$55,'Summary Dept Wise'!$F34)</f>
        <v>50000</v>
      </c>
      <c r="T34" s="214">
        <f>SUMIFS(Master!AO$8:AO$55,Master!$J$8:$J$55,'Summary Dept Wise'!$C34,Master!$M$8:$M$55,'Summary Dept Wise'!$E34,Master!$N$8:$N$55,'Summary Dept Wise'!$F34)</f>
        <v>0</v>
      </c>
      <c r="U34" s="214">
        <f>SUMIFS(Master!AP$8:AP$55,Master!$J$8:$J$55,'Summary Dept Wise'!$C34,Master!$M$8:$M$55,'Summary Dept Wise'!$E34,Master!$N$8:$N$55,'Summary Dept Wise'!$F34)</f>
        <v>0</v>
      </c>
      <c r="V34" s="214">
        <f>SUMIFS(Master!AQ$8:AQ$55,Master!$J$8:$J$55,'Summary Dept Wise'!$C34,Master!$M$8:$M$55,'Summary Dept Wise'!$E34,Master!$N$8:$N$55,'Summary Dept Wise'!$F34)</f>
        <v>20000</v>
      </c>
      <c r="W34" s="214">
        <f>SUMIFS(Master!AR$8:AR$55,Master!$J$8:$J$55,'Summary Dept Wise'!$C34,Master!$M$8:$M$55,'Summary Dept Wise'!$E34,Master!$N$8:$N$55,'Summary Dept Wise'!$F34)</f>
        <v>0</v>
      </c>
      <c r="X34" s="215">
        <f t="shared" ref="X34" si="17">SUM(S34:W34)</f>
        <v>70000</v>
      </c>
      <c r="Y34" s="214">
        <f>SUMIFS(Master!AT$8:AT$55,Master!$J$8:$J$55,'Summary Dept Wise'!$C34,Master!$M$8:$M$55,'Summary Dept Wise'!$E34,Master!$N$8:$N$55,'Summary Dept Wise'!$F34)</f>
        <v>25438.596491228069</v>
      </c>
      <c r="Z34" s="216">
        <f t="shared" ref="Z34" si="18">SUM(X34:Y34)</f>
        <v>95438.596491228061</v>
      </c>
      <c r="AA34" s="273">
        <f>SUMIFS(Master!AI$8:AI$55,Master!$J$8:$J$55,'Summary Dept Wise'!$C34,Master!$M$8:$M$55,'Summary Dept Wise'!$E34,Master!$N$8:$N$55,'Summary Dept Wise'!$F34,Master!$AV$8:$AV$55,"Paid")</f>
        <v>0</v>
      </c>
      <c r="AB34" s="273">
        <f t="shared" ref="AB34" si="19">+Z34-AA34</f>
        <v>95438.596491228061</v>
      </c>
      <c r="AC34" s="273">
        <f>SUMIFS(Master!BF$8:BF$55,Master!$J$8:$J$55,'Summary Dept Wise'!$C34,Master!$M$8:$M$55,'Summary Dept Wise'!$E34,Master!$N$8:$N$55,'Summary Dept Wise'!$F34)</f>
        <v>0</v>
      </c>
    </row>
    <row r="35" spans="2:29" ht="13.8" x14ac:dyDescent="0.25">
      <c r="B35" s="212"/>
      <c r="C35" s="37" t="s">
        <v>63</v>
      </c>
      <c r="D35" s="209">
        <f>COUNTIFS(Master!$J$8:$J$55,'Summary Dept Wise'!$C35,Master!$M$8:$M$55,'Summary Dept Wise'!$E35,Master!$N$8:$N$55,'Summary Dept Wise'!$F35)</f>
        <v>1</v>
      </c>
      <c r="E35" s="213" t="s">
        <v>57</v>
      </c>
      <c r="F35" s="213" t="s">
        <v>59</v>
      </c>
      <c r="G35" s="214">
        <f>SUMIFS(Master!$P$8:$P$55,Master!$J$8:$J$55,'Summary Dept Wise'!$C35,Master!$M$8:$M$55,'Summary Dept Wise'!$E35,Master!$N$8:$N$55,'Summary Dept Wise'!$F35)</f>
        <v>200000</v>
      </c>
      <c r="H35" s="214">
        <f>SUMIFS(Master!$U$8:$U$55,Master!$J$8:$J$55,'Summary Dept Wise'!$C35,Master!$M$8:$M$55,'Summary Dept Wise'!$E35,Master!$N$8:$N$55,'Summary Dept Wise'!$F35)</f>
        <v>275000</v>
      </c>
      <c r="I35" s="214">
        <f>SUMIFS(Master!$V$8:$V$55,Master!$J$8:$J$55,'Summary Dept Wise'!$C35,Master!$M$8:$M$55,'Summary Dept Wise'!$E35,Master!$N$8:$N$55,'Summary Dept Wise'!$F35)</f>
        <v>0</v>
      </c>
      <c r="J35" s="214">
        <f>SUMIFS(Master!$X$8:$X$55,Master!$J$8:$J$55,'Summary Dept Wise'!$C35,Master!$M$8:$M$55,'Summary Dept Wise'!$E35,Master!$N$8:$N$55,'Summary Dept Wise'!$F35)</f>
        <v>0</v>
      </c>
      <c r="K35" s="214">
        <f>SUMIFS(Master!$Z$8:$Z$55,Master!$J$8:$J$55,'Summary Dept Wise'!$C35,Master!$M$8:$M$55,'Summary Dept Wise'!$E35,Master!$N$8:$N$55,'Summary Dept Wise'!$F35)</f>
        <v>0</v>
      </c>
      <c r="L35" s="214">
        <f>SUMIFS(Master!AC$8:AC$55,Master!$J$8:$J$55,'Summary Dept Wise'!$C35,Master!$M$8:$M$55,'Summary Dept Wise'!$E35,Master!$N$8:$N$55,'Summary Dept Wise'!$F35)</f>
        <v>0</v>
      </c>
      <c r="M35" s="215">
        <f>SUMIFS(Master!AD$8:AD$55,Master!$J$8:$J$55,'Summary Dept Wise'!$C35,Master!$M$8:$M$55,'Summary Dept Wise'!$E35,Master!$N$8:$N$55,'Summary Dept Wise'!$F35)</f>
        <v>275000</v>
      </c>
      <c r="N35" s="214">
        <f>SUMIFS(Master!AE$8:AE$55,Master!$J$8:$J$55,'Summary Dept Wise'!$C35,Master!$M$8:$M$55,'Summary Dept Wise'!$E35,Master!$N$8:$N$55,'Summary Dept Wise'!$F35)</f>
        <v>9790</v>
      </c>
      <c r="O35" s="214">
        <f>SUMIFS(Master!AF$8:AF$55,Master!$J$8:$J$55,'Summary Dept Wise'!$C35,Master!$M$8:$M$55,'Summary Dept Wise'!$E35,Master!$N$8:$N$55,'Summary Dept Wise'!$F35)</f>
        <v>250</v>
      </c>
      <c r="P35" s="214">
        <f>SUMIFS(Master!AG$8:AG$55,Master!$J$8:$J$55,'Summary Dept Wise'!$C35,Master!$M$8:$M$55,'Summary Dept Wise'!$E35,Master!$N$8:$N$55,'Summary Dept Wise'!$F35)</f>
        <v>75000</v>
      </c>
      <c r="Q35" s="214">
        <f>SUMIFS(Master!AH$8:AH$55,Master!$J$8:$J$55,'Summary Dept Wise'!$C35,Master!$M$8:$M$55,'Summary Dept Wise'!$E35,Master!$N$8:$N$55,'Summary Dept Wise'!$F35)</f>
        <v>0</v>
      </c>
      <c r="R35" s="215">
        <f>SUMIFS(Master!AI$8:AI$55,Master!$J$8:$J$55,'Summary Dept Wise'!$C35,Master!$M$8:$M$55,'Summary Dept Wise'!$E35,Master!$N$8:$N$55,'Summary Dept Wise'!$F35)</f>
        <v>189960</v>
      </c>
      <c r="S35" s="214">
        <f>SUMIFS(Master!AN$8:AN$55,Master!$J$8:$J$55,'Summary Dept Wise'!$C35,Master!$M$8:$M$55,'Summary Dept Wise'!$E35,Master!$N$8:$N$55,'Summary Dept Wise'!$F35)</f>
        <v>189960</v>
      </c>
      <c r="T35" s="214">
        <f>SUMIFS(Master!AO$8:AO$55,Master!$J$8:$J$55,'Summary Dept Wise'!$C35,Master!$M$8:$M$55,'Summary Dept Wise'!$E35,Master!$N$8:$N$55,'Summary Dept Wise'!$F35)</f>
        <v>0</v>
      </c>
      <c r="U35" s="214">
        <f>SUMIFS(Master!AP$8:AP$55,Master!$J$8:$J$55,'Summary Dept Wise'!$C35,Master!$M$8:$M$55,'Summary Dept Wise'!$E35,Master!$N$8:$N$55,'Summary Dept Wise'!$F35)</f>
        <v>0</v>
      </c>
      <c r="V35" s="214">
        <f>SUMIFS(Master!AQ$8:AQ$55,Master!$J$8:$J$55,'Summary Dept Wise'!$C35,Master!$M$8:$M$55,'Summary Dept Wise'!$E35,Master!$N$8:$N$55,'Summary Dept Wise'!$F35)</f>
        <v>0</v>
      </c>
      <c r="W35" s="214">
        <f>SUMIFS(Master!AR$8:AR$55,Master!$J$8:$J$55,'Summary Dept Wise'!$C35,Master!$M$8:$M$55,'Summary Dept Wise'!$E35,Master!$N$8:$N$55,'Summary Dept Wise'!$F35)</f>
        <v>0</v>
      </c>
      <c r="X35" s="215">
        <f t="shared" si="14"/>
        <v>189960</v>
      </c>
      <c r="Y35" s="214">
        <f>SUMIFS(Master!AT$8:AT$55,Master!$J$8:$J$55,'Summary Dept Wise'!$C35,Master!$M$8:$M$55,'Summary Dept Wise'!$E35,Master!$N$8:$N$55,'Summary Dept Wise'!$F35)</f>
        <v>0</v>
      </c>
      <c r="Z35" s="216">
        <f t="shared" si="15"/>
        <v>189960</v>
      </c>
      <c r="AA35" s="273">
        <f>SUMIFS(Master!AI$8:AI$55,Master!$J$8:$J$55,'Summary Dept Wise'!$C35,Master!$M$8:$M$55,'Summary Dept Wise'!$E35,Master!$N$8:$N$55,'Summary Dept Wise'!$F35,Master!$AV$8:$AV$55,"Paid")</f>
        <v>0</v>
      </c>
      <c r="AB35" s="273">
        <f t="shared" si="16"/>
        <v>189960</v>
      </c>
      <c r="AC35" s="273">
        <f>SUMIFS(Master!BF$8:BF$55,Master!$J$8:$J$55,'Summary Dept Wise'!$C35,Master!$M$8:$M$55,'Summary Dept Wise'!$E35,Master!$N$8:$N$55,'Summary Dept Wise'!$F35)</f>
        <v>0</v>
      </c>
    </row>
    <row r="36" spans="2:29" ht="13.8" hidden="1" x14ac:dyDescent="0.25">
      <c r="B36" s="212"/>
      <c r="C36" s="37" t="s">
        <v>146</v>
      </c>
      <c r="D36" s="209">
        <f>COUNTIFS(Master!$J$8:$J$55,'Summary Dept Wise'!$C36,Master!$M$8:$M$55,'Summary Dept Wise'!$E36,Master!$N$8:$N$55,'Summary Dept Wise'!$F36)</f>
        <v>0</v>
      </c>
      <c r="E36" s="213" t="s">
        <v>57</v>
      </c>
      <c r="F36" s="213" t="s">
        <v>59</v>
      </c>
      <c r="G36" s="214">
        <f>SUMIFS(Master!$P$8:$P$55,Master!$J$8:$J$55,'Summary Dept Wise'!$C36,Master!$M$8:$M$55,'Summary Dept Wise'!$E36,Master!$N$8:$N$55,'Summary Dept Wise'!$F36)</f>
        <v>0</v>
      </c>
      <c r="H36" s="214">
        <f>SUMIFS(Master!$U$8:$U$55,Master!$J$8:$J$55,'Summary Dept Wise'!$C36,Master!$M$8:$M$55,'Summary Dept Wise'!$E36,Master!$N$8:$N$55,'Summary Dept Wise'!$F36)</f>
        <v>0</v>
      </c>
      <c r="I36" s="214">
        <f>SUMIFS(Master!$V$8:$V$55,Master!$J$8:$J$55,'Summary Dept Wise'!$C36,Master!$M$8:$M$55,'Summary Dept Wise'!$E36,Master!$N$8:$N$55,'Summary Dept Wise'!$F36)</f>
        <v>0</v>
      </c>
      <c r="J36" s="214">
        <f>SUMIFS(Master!$X$8:$X$55,Master!$J$8:$J$55,'Summary Dept Wise'!$C36,Master!$M$8:$M$55,'Summary Dept Wise'!$E36,Master!$N$8:$N$55,'Summary Dept Wise'!$F36)</f>
        <v>0</v>
      </c>
      <c r="K36" s="214">
        <f>SUMIFS(Master!$Z$8:$Z$55,Master!$J$8:$J$55,'Summary Dept Wise'!$C36,Master!$M$8:$M$55,'Summary Dept Wise'!$E36,Master!$N$8:$N$55,'Summary Dept Wise'!$F36)</f>
        <v>0</v>
      </c>
      <c r="L36" s="214">
        <f>SUMIFS(Master!AC$8:AC$55,Master!$J$8:$J$55,'Summary Dept Wise'!$C36,Master!$M$8:$M$55,'Summary Dept Wise'!$E36,Master!$N$8:$N$55,'Summary Dept Wise'!$F36)</f>
        <v>0</v>
      </c>
      <c r="M36" s="215">
        <f>SUMIFS(Master!AD$8:AD$55,Master!$J$8:$J$55,'Summary Dept Wise'!$C36,Master!$M$8:$M$55,'Summary Dept Wise'!$E36,Master!$N$8:$N$55,'Summary Dept Wise'!$F36)</f>
        <v>0</v>
      </c>
      <c r="N36" s="214">
        <f>SUMIFS(Master!AE$8:AE$55,Master!$J$8:$J$55,'Summary Dept Wise'!$C36,Master!$M$8:$M$55,'Summary Dept Wise'!$E36,Master!$N$8:$N$55,'Summary Dept Wise'!$F36)</f>
        <v>0</v>
      </c>
      <c r="O36" s="214">
        <f>SUMIFS(Master!AF$8:AF$55,Master!$J$8:$J$55,'Summary Dept Wise'!$C36,Master!$M$8:$M$55,'Summary Dept Wise'!$E36,Master!$N$8:$N$55,'Summary Dept Wise'!$F36)</f>
        <v>0</v>
      </c>
      <c r="P36" s="214">
        <f>SUMIFS(Master!AG$8:AG$55,Master!$J$8:$J$55,'Summary Dept Wise'!$C36,Master!$M$8:$M$55,'Summary Dept Wise'!$E36,Master!$N$8:$N$55,'Summary Dept Wise'!$F36)</f>
        <v>0</v>
      </c>
      <c r="Q36" s="214">
        <f>SUMIFS(Master!AH$8:AH$55,Master!$J$8:$J$55,'Summary Dept Wise'!$C36,Master!$M$8:$M$55,'Summary Dept Wise'!$E36,Master!$N$8:$N$55,'Summary Dept Wise'!$F36)</f>
        <v>0</v>
      </c>
      <c r="R36" s="215">
        <f>SUMIFS(Master!AI$8:AI$55,Master!$J$8:$J$55,'Summary Dept Wise'!$C36,Master!$M$8:$M$55,'Summary Dept Wise'!$E36,Master!$N$8:$N$55,'Summary Dept Wise'!$F36)</f>
        <v>0</v>
      </c>
      <c r="S36" s="214">
        <f>SUMIFS(Master!AN$8:AN$55,Master!$J$8:$J$55,'Summary Dept Wise'!$C36,Master!$M$8:$M$55,'Summary Dept Wise'!$E36,Master!$N$8:$N$55,'Summary Dept Wise'!$F36)</f>
        <v>0</v>
      </c>
      <c r="T36" s="214">
        <f>SUMIFS(Master!AO$8:AO$55,Master!$J$8:$J$55,'Summary Dept Wise'!$C36,Master!$M$8:$M$55,'Summary Dept Wise'!$E36,Master!$N$8:$N$55,'Summary Dept Wise'!$F36)</f>
        <v>0</v>
      </c>
      <c r="U36" s="214">
        <f>SUMIFS(Master!AP$8:AP$55,Master!$J$8:$J$55,'Summary Dept Wise'!$C36,Master!$M$8:$M$55,'Summary Dept Wise'!$E36,Master!$N$8:$N$55,'Summary Dept Wise'!$F36)</f>
        <v>0</v>
      </c>
      <c r="V36" s="214">
        <f>SUMIFS(Master!AQ$8:AQ$55,Master!$J$8:$J$55,'Summary Dept Wise'!$C36,Master!$M$8:$M$55,'Summary Dept Wise'!$E36,Master!$N$8:$N$55,'Summary Dept Wise'!$F36)</f>
        <v>0</v>
      </c>
      <c r="W36" s="214">
        <f>SUMIFS(Master!AR$8:AR$55,Master!$J$8:$J$55,'Summary Dept Wise'!$C36,Master!$M$8:$M$55,'Summary Dept Wise'!$E36,Master!$N$8:$N$55,'Summary Dept Wise'!$F36)</f>
        <v>0</v>
      </c>
      <c r="X36" s="215"/>
      <c r="Y36" s="214">
        <f>SUMIFS(Master!AT$8:AT$55,Master!$J$8:$J$55,'Summary Dept Wise'!$C36,Master!$M$8:$M$55,'Summary Dept Wise'!$E36,Master!$N$8:$N$55,'Summary Dept Wise'!$F36)</f>
        <v>0</v>
      </c>
      <c r="Z36" s="216">
        <f t="shared" si="15"/>
        <v>0</v>
      </c>
      <c r="AA36" s="273">
        <f>SUMIFS(Master!AI$8:AI$55,Master!$J$8:$J$55,'Summary Dept Wise'!$C36,Master!$M$8:$M$55,'Summary Dept Wise'!$E36,Master!$N$8:$N$55,'Summary Dept Wise'!$F36,Master!$AV$8:$AV$55,"Paid")</f>
        <v>0</v>
      </c>
      <c r="AB36" s="273">
        <f t="shared" si="16"/>
        <v>0</v>
      </c>
      <c r="AC36" s="273">
        <f>SUMIFS(Master!BF$8:BF$55,Master!$J$8:$J$55,'Summary Dept Wise'!$C36,Master!$M$8:$M$55,'Summary Dept Wise'!$E36,Master!$N$8:$N$55,'Summary Dept Wise'!$F36)</f>
        <v>0</v>
      </c>
    </row>
    <row r="37" spans="2:29" ht="13.8" hidden="1" x14ac:dyDescent="0.25">
      <c r="B37" s="212"/>
      <c r="C37" s="37" t="s">
        <v>56</v>
      </c>
      <c r="D37" s="209">
        <f>COUNTIFS(Master!$J$8:$J$55,'Summary Dept Wise'!$C37,Master!$M$8:$M$55,'Summary Dept Wise'!$E37,Master!$N$8:$N$55,'Summary Dept Wise'!$F37)</f>
        <v>0</v>
      </c>
      <c r="E37" s="213" t="s">
        <v>57</v>
      </c>
      <c r="F37" s="213" t="s">
        <v>59</v>
      </c>
      <c r="G37" s="214">
        <f>SUMIFS(Master!$P$8:$P$55,Master!$J$8:$J$55,'Summary Dept Wise'!$C37,Master!$M$8:$M$55,'Summary Dept Wise'!$E37,Master!$N$8:$N$55,'Summary Dept Wise'!$F37)</f>
        <v>0</v>
      </c>
      <c r="H37" s="214">
        <f>SUMIFS(Master!$U$8:$U$55,Master!$J$8:$J$55,'Summary Dept Wise'!$C37,Master!$M$8:$M$55,'Summary Dept Wise'!$E37,Master!$N$8:$N$55,'Summary Dept Wise'!$F37)</f>
        <v>0</v>
      </c>
      <c r="I37" s="214">
        <f>SUMIFS(Master!$V$8:$V$55,Master!$J$8:$J$55,'Summary Dept Wise'!$C37,Master!$M$8:$M$55,'Summary Dept Wise'!$E37,Master!$N$8:$N$55,'Summary Dept Wise'!$F37)</f>
        <v>0</v>
      </c>
      <c r="J37" s="214">
        <f>SUMIFS(Master!$X$8:$X$55,Master!$J$8:$J$55,'Summary Dept Wise'!$C37,Master!$M$8:$M$55,'Summary Dept Wise'!$E37,Master!$N$8:$N$55,'Summary Dept Wise'!$F37)</f>
        <v>0</v>
      </c>
      <c r="K37" s="214">
        <f>SUMIFS(Master!$Z$8:$Z$55,Master!$J$8:$J$55,'Summary Dept Wise'!$C37,Master!$M$8:$M$55,'Summary Dept Wise'!$E37,Master!$N$8:$N$55,'Summary Dept Wise'!$F37)</f>
        <v>0</v>
      </c>
      <c r="L37" s="214">
        <f>SUMIFS(Master!AC$8:AC$55,Master!$J$8:$J$55,'Summary Dept Wise'!$C37,Master!$M$8:$M$55,'Summary Dept Wise'!$E37,Master!$N$8:$N$55,'Summary Dept Wise'!$F37)</f>
        <v>0</v>
      </c>
      <c r="M37" s="215">
        <f>SUMIFS(Master!AD$8:AD$55,Master!$J$8:$J$55,'Summary Dept Wise'!$C37,Master!$M$8:$M$55,'Summary Dept Wise'!$E37,Master!$N$8:$N$55,'Summary Dept Wise'!$F37)</f>
        <v>0</v>
      </c>
      <c r="N37" s="214">
        <f>SUMIFS(Master!AE$8:AE$55,Master!$J$8:$J$55,'Summary Dept Wise'!$C37,Master!$M$8:$M$55,'Summary Dept Wise'!$E37,Master!$N$8:$N$55,'Summary Dept Wise'!$F37)</f>
        <v>0</v>
      </c>
      <c r="O37" s="214">
        <f>SUMIFS(Master!AF$8:AF$55,Master!$J$8:$J$55,'Summary Dept Wise'!$C37,Master!$M$8:$M$55,'Summary Dept Wise'!$E37,Master!$N$8:$N$55,'Summary Dept Wise'!$F37)</f>
        <v>0</v>
      </c>
      <c r="P37" s="214">
        <f>SUMIFS(Master!AG$8:AG$55,Master!$J$8:$J$55,'Summary Dept Wise'!$C37,Master!$M$8:$M$55,'Summary Dept Wise'!$E37,Master!$N$8:$N$55,'Summary Dept Wise'!$F37)</f>
        <v>0</v>
      </c>
      <c r="Q37" s="214">
        <f>SUMIFS(Master!AH$8:AH$55,Master!$J$8:$J$55,'Summary Dept Wise'!$C37,Master!$M$8:$M$55,'Summary Dept Wise'!$E37,Master!$N$8:$N$55,'Summary Dept Wise'!$F37)</f>
        <v>0</v>
      </c>
      <c r="R37" s="215">
        <f>SUMIFS(Master!AI$8:AI$55,Master!$J$8:$J$55,'Summary Dept Wise'!$C37,Master!$M$8:$M$55,'Summary Dept Wise'!$E37,Master!$N$8:$N$55,'Summary Dept Wise'!$F37)</f>
        <v>0</v>
      </c>
      <c r="S37" s="214">
        <f>SUMIFS(Master!AN$8:AN$55,Master!$J$8:$J$55,'Summary Dept Wise'!$C37,Master!$M$8:$M$55,'Summary Dept Wise'!$E37,Master!$N$8:$N$55,'Summary Dept Wise'!$F37)</f>
        <v>0</v>
      </c>
      <c r="T37" s="214">
        <f>SUMIFS(Master!AO$8:AO$55,Master!$J$8:$J$55,'Summary Dept Wise'!$C37,Master!$M$8:$M$55,'Summary Dept Wise'!$E37,Master!$N$8:$N$55,'Summary Dept Wise'!$F37)</f>
        <v>0</v>
      </c>
      <c r="U37" s="214">
        <f>SUMIFS(Master!AP$8:AP$55,Master!$J$8:$J$55,'Summary Dept Wise'!$C37,Master!$M$8:$M$55,'Summary Dept Wise'!$E37,Master!$N$8:$N$55,'Summary Dept Wise'!$F37)</f>
        <v>0</v>
      </c>
      <c r="V37" s="214">
        <f>SUMIFS(Master!AQ$8:AQ$55,Master!$J$8:$J$55,'Summary Dept Wise'!$C37,Master!$M$8:$M$55,'Summary Dept Wise'!$E37,Master!$N$8:$N$55,'Summary Dept Wise'!$F37)</f>
        <v>0</v>
      </c>
      <c r="W37" s="214">
        <f>SUMIFS(Master!AR$8:AR$55,Master!$J$8:$J$55,'Summary Dept Wise'!$C37,Master!$M$8:$M$55,'Summary Dept Wise'!$E37,Master!$N$8:$N$55,'Summary Dept Wise'!$F37)</f>
        <v>0</v>
      </c>
      <c r="X37" s="215"/>
      <c r="Y37" s="214">
        <f>SUMIFS(Master!AT$8:AT$55,Master!$J$8:$J$55,'Summary Dept Wise'!$C37,Master!$M$8:$M$55,'Summary Dept Wise'!$E37,Master!$N$8:$N$55,'Summary Dept Wise'!$F37)</f>
        <v>0</v>
      </c>
      <c r="Z37" s="216">
        <f t="shared" si="15"/>
        <v>0</v>
      </c>
      <c r="AA37" s="273">
        <f>SUMIFS(Master!AI$8:AI$55,Master!$J$8:$J$55,'Summary Dept Wise'!$C37,Master!$M$8:$M$55,'Summary Dept Wise'!$E37,Master!$N$8:$N$55,'Summary Dept Wise'!$F37,Master!$AV$8:$AV$55,"Paid")</f>
        <v>0</v>
      </c>
      <c r="AB37" s="273">
        <f t="shared" si="16"/>
        <v>0</v>
      </c>
      <c r="AC37" s="273">
        <f>SUMIFS(Master!BF$8:BF$55,Master!$J$8:$J$55,'Summary Dept Wise'!$C37,Master!$M$8:$M$55,'Summary Dept Wise'!$E37,Master!$N$8:$N$55,'Summary Dept Wise'!$F37)</f>
        <v>0</v>
      </c>
    </row>
    <row r="38" spans="2:29" ht="13.8" hidden="1" x14ac:dyDescent="0.25">
      <c r="B38" s="212"/>
      <c r="C38" s="37" t="s">
        <v>64</v>
      </c>
      <c r="D38" s="209">
        <f>COUNTIFS(Master!$J$8:$J$55,'Summary Dept Wise'!$C38,Master!$M$8:$M$55,'Summary Dept Wise'!$E38,Master!$N$8:$N$55,'Summary Dept Wise'!$F38)</f>
        <v>0</v>
      </c>
      <c r="E38" s="213" t="s">
        <v>57</v>
      </c>
      <c r="F38" s="213" t="s">
        <v>59</v>
      </c>
      <c r="G38" s="214">
        <f>SUMIFS(Master!$P$8:$P$55,Master!$J$8:$J$55,'Summary Dept Wise'!$C38,Master!$M$8:$M$55,'Summary Dept Wise'!$E38,Master!$N$8:$N$55,'Summary Dept Wise'!$F38)</f>
        <v>0</v>
      </c>
      <c r="H38" s="214">
        <f>SUMIFS(Master!$U$8:$U$55,Master!$J$8:$J$55,'Summary Dept Wise'!$C38,Master!$M$8:$M$55,'Summary Dept Wise'!$E38,Master!$N$8:$N$55,'Summary Dept Wise'!$F38)</f>
        <v>0</v>
      </c>
      <c r="I38" s="214">
        <f>SUMIFS(Master!$V$8:$V$55,Master!$J$8:$J$55,'Summary Dept Wise'!$C38,Master!$M$8:$M$55,'Summary Dept Wise'!$E38,Master!$N$8:$N$55,'Summary Dept Wise'!$F38)</f>
        <v>0</v>
      </c>
      <c r="J38" s="214">
        <f>SUMIFS(Master!$X$8:$X$55,Master!$J$8:$J$55,'Summary Dept Wise'!$C38,Master!$M$8:$M$55,'Summary Dept Wise'!$E38,Master!$N$8:$N$55,'Summary Dept Wise'!$F38)</f>
        <v>0</v>
      </c>
      <c r="K38" s="214">
        <f>SUMIFS(Master!$Z$8:$Z$55,Master!$J$8:$J$55,'Summary Dept Wise'!$C38,Master!$M$8:$M$55,'Summary Dept Wise'!$E38,Master!$N$8:$N$55,'Summary Dept Wise'!$F38)</f>
        <v>0</v>
      </c>
      <c r="L38" s="214">
        <f>SUMIFS(Master!AC$8:AC$55,Master!$J$8:$J$55,'Summary Dept Wise'!$C38,Master!$M$8:$M$55,'Summary Dept Wise'!$E38,Master!$N$8:$N$55,'Summary Dept Wise'!$F38)</f>
        <v>0</v>
      </c>
      <c r="M38" s="215">
        <f>SUMIFS(Master!AD$8:AD$55,Master!$J$8:$J$55,'Summary Dept Wise'!$C38,Master!$M$8:$M$55,'Summary Dept Wise'!$E38,Master!$N$8:$N$55,'Summary Dept Wise'!$F38)</f>
        <v>0</v>
      </c>
      <c r="N38" s="214">
        <f>SUMIFS(Master!AE$8:AE$55,Master!$J$8:$J$55,'Summary Dept Wise'!$C38,Master!$M$8:$M$55,'Summary Dept Wise'!$E38,Master!$N$8:$N$55,'Summary Dept Wise'!$F38)</f>
        <v>0</v>
      </c>
      <c r="O38" s="214">
        <f>SUMIFS(Master!AF$8:AF$55,Master!$J$8:$J$55,'Summary Dept Wise'!$C38,Master!$M$8:$M$55,'Summary Dept Wise'!$E38,Master!$N$8:$N$55,'Summary Dept Wise'!$F38)</f>
        <v>0</v>
      </c>
      <c r="P38" s="214">
        <f>SUMIFS(Master!AG$8:AG$55,Master!$J$8:$J$55,'Summary Dept Wise'!$C38,Master!$M$8:$M$55,'Summary Dept Wise'!$E38,Master!$N$8:$N$55,'Summary Dept Wise'!$F38)</f>
        <v>0</v>
      </c>
      <c r="Q38" s="214">
        <f>SUMIFS(Master!AH$8:AH$55,Master!$J$8:$J$55,'Summary Dept Wise'!$C38,Master!$M$8:$M$55,'Summary Dept Wise'!$E38,Master!$N$8:$N$55,'Summary Dept Wise'!$F38)</f>
        <v>0</v>
      </c>
      <c r="R38" s="215">
        <f>SUMIFS(Master!AI$8:AI$55,Master!$J$8:$J$55,'Summary Dept Wise'!$C38,Master!$M$8:$M$55,'Summary Dept Wise'!$E38,Master!$N$8:$N$55,'Summary Dept Wise'!$F38)</f>
        <v>0</v>
      </c>
      <c r="S38" s="214">
        <f>SUMIFS(Master!AN$8:AN$55,Master!$J$8:$J$55,'Summary Dept Wise'!$C38,Master!$M$8:$M$55,'Summary Dept Wise'!$E38,Master!$N$8:$N$55,'Summary Dept Wise'!$F38)</f>
        <v>0</v>
      </c>
      <c r="T38" s="214">
        <f>SUMIFS(Master!AO$8:AO$55,Master!$J$8:$J$55,'Summary Dept Wise'!$C38,Master!$M$8:$M$55,'Summary Dept Wise'!$E38,Master!$N$8:$N$55,'Summary Dept Wise'!$F38)</f>
        <v>0</v>
      </c>
      <c r="U38" s="214">
        <f>SUMIFS(Master!AP$8:AP$55,Master!$J$8:$J$55,'Summary Dept Wise'!$C38,Master!$M$8:$M$55,'Summary Dept Wise'!$E38,Master!$N$8:$N$55,'Summary Dept Wise'!$F38)</f>
        <v>0</v>
      </c>
      <c r="V38" s="214">
        <f>SUMIFS(Master!AQ$8:AQ$55,Master!$J$8:$J$55,'Summary Dept Wise'!$C38,Master!$M$8:$M$55,'Summary Dept Wise'!$E38,Master!$N$8:$N$55,'Summary Dept Wise'!$F38)</f>
        <v>0</v>
      </c>
      <c r="W38" s="214">
        <f>SUMIFS(Master!AR$8:AR$55,Master!$J$8:$J$55,'Summary Dept Wise'!$C38,Master!$M$8:$M$55,'Summary Dept Wise'!$E38,Master!$N$8:$N$55,'Summary Dept Wise'!$F38)</f>
        <v>0</v>
      </c>
      <c r="X38" s="215"/>
      <c r="Y38" s="214">
        <f>SUMIFS(Master!AT$8:AT$55,Master!$J$8:$J$55,'Summary Dept Wise'!$C38,Master!$M$8:$M$55,'Summary Dept Wise'!$E38,Master!$N$8:$N$55,'Summary Dept Wise'!$F38)</f>
        <v>0</v>
      </c>
      <c r="Z38" s="216">
        <f t="shared" si="15"/>
        <v>0</v>
      </c>
      <c r="AA38" s="273">
        <f>SUMIFS(Master!AI$8:AI$55,Master!$J$8:$J$55,'Summary Dept Wise'!$C38,Master!$M$8:$M$55,'Summary Dept Wise'!$E38,Master!$N$8:$N$55,'Summary Dept Wise'!$F38,Master!$AV$8:$AV$55,"Paid")</f>
        <v>0</v>
      </c>
      <c r="AB38" s="273">
        <f t="shared" si="16"/>
        <v>0</v>
      </c>
      <c r="AC38" s="273">
        <f>SUMIFS(Master!BF$8:BF$55,Master!$J$8:$J$55,'Summary Dept Wise'!$C38,Master!$M$8:$M$55,'Summary Dept Wise'!$E38,Master!$N$8:$N$55,'Summary Dept Wise'!$F38)</f>
        <v>0</v>
      </c>
    </row>
    <row r="39" spans="2:29" ht="13.8" hidden="1" x14ac:dyDescent="0.25">
      <c r="B39" s="212"/>
      <c r="C39" s="37" t="s">
        <v>149</v>
      </c>
      <c r="D39" s="209">
        <f>COUNTIFS(Master!$J$8:$J$55,'Summary Dept Wise'!$C39,Master!$M$8:$M$55,'Summary Dept Wise'!$E39,Master!$N$8:$N$55,'Summary Dept Wise'!$F39)</f>
        <v>0</v>
      </c>
      <c r="E39" s="213" t="s">
        <v>57</v>
      </c>
      <c r="F39" s="213" t="s">
        <v>59</v>
      </c>
      <c r="G39" s="214">
        <f>SUMIFS(Master!$P$8:$P$55,Master!$J$8:$J$55,'Summary Dept Wise'!$C39,Master!$M$8:$M$55,'Summary Dept Wise'!$E39,Master!$N$8:$N$55,'Summary Dept Wise'!$F39)</f>
        <v>0</v>
      </c>
      <c r="H39" s="214">
        <f>SUMIFS(Master!$U$8:$U$55,Master!$J$8:$J$55,'Summary Dept Wise'!$C39,Master!$M$8:$M$55,'Summary Dept Wise'!$E39,Master!$N$8:$N$55,'Summary Dept Wise'!$F39)</f>
        <v>0</v>
      </c>
      <c r="I39" s="214">
        <f>SUMIFS(Master!$V$8:$V$55,Master!$J$8:$J$55,'Summary Dept Wise'!$C39,Master!$M$8:$M$55,'Summary Dept Wise'!$E39,Master!$N$8:$N$55,'Summary Dept Wise'!$F39)</f>
        <v>0</v>
      </c>
      <c r="J39" s="214">
        <f>SUMIFS(Master!$X$8:$X$55,Master!$J$8:$J$55,'Summary Dept Wise'!$C39,Master!$M$8:$M$55,'Summary Dept Wise'!$E39,Master!$N$8:$N$55,'Summary Dept Wise'!$F39)</f>
        <v>0</v>
      </c>
      <c r="K39" s="214">
        <f>SUMIFS(Master!$Z$8:$Z$55,Master!$J$8:$J$55,'Summary Dept Wise'!$C39,Master!$M$8:$M$55,'Summary Dept Wise'!$E39,Master!$N$8:$N$55,'Summary Dept Wise'!$F39)</f>
        <v>0</v>
      </c>
      <c r="L39" s="214">
        <f>SUMIFS(Master!AC$8:AC$55,Master!$J$8:$J$55,'Summary Dept Wise'!$C39,Master!$M$8:$M$55,'Summary Dept Wise'!$E39,Master!$N$8:$N$55,'Summary Dept Wise'!$F39)</f>
        <v>0</v>
      </c>
      <c r="M39" s="215">
        <f>SUMIFS(Master!AD$8:AD$55,Master!$J$8:$J$55,'Summary Dept Wise'!$C39,Master!$M$8:$M$55,'Summary Dept Wise'!$E39,Master!$N$8:$N$55,'Summary Dept Wise'!$F39)</f>
        <v>0</v>
      </c>
      <c r="N39" s="214">
        <f>SUMIFS(Master!AE$8:AE$55,Master!$J$8:$J$55,'Summary Dept Wise'!$C39,Master!$M$8:$M$55,'Summary Dept Wise'!$E39,Master!$N$8:$N$55,'Summary Dept Wise'!$F39)</f>
        <v>0</v>
      </c>
      <c r="O39" s="214">
        <f>SUMIFS(Master!AF$8:AF$55,Master!$J$8:$J$55,'Summary Dept Wise'!$C39,Master!$M$8:$M$55,'Summary Dept Wise'!$E39,Master!$N$8:$N$55,'Summary Dept Wise'!$F39)</f>
        <v>0</v>
      </c>
      <c r="P39" s="214">
        <f>SUMIFS(Master!AG$8:AG$55,Master!$J$8:$J$55,'Summary Dept Wise'!$C39,Master!$M$8:$M$55,'Summary Dept Wise'!$E39,Master!$N$8:$N$55,'Summary Dept Wise'!$F39)</f>
        <v>0</v>
      </c>
      <c r="Q39" s="214">
        <f>SUMIFS(Master!AH$8:AH$55,Master!$J$8:$J$55,'Summary Dept Wise'!$C39,Master!$M$8:$M$55,'Summary Dept Wise'!$E39,Master!$N$8:$N$55,'Summary Dept Wise'!$F39)</f>
        <v>0</v>
      </c>
      <c r="R39" s="215">
        <f>SUMIFS(Master!AI$8:AI$55,Master!$J$8:$J$55,'Summary Dept Wise'!$C39,Master!$M$8:$M$55,'Summary Dept Wise'!$E39,Master!$N$8:$N$55,'Summary Dept Wise'!$F39)</f>
        <v>0</v>
      </c>
      <c r="S39" s="214">
        <f>SUMIFS(Master!AN$8:AN$55,Master!$J$8:$J$55,'Summary Dept Wise'!$C39,Master!$M$8:$M$55,'Summary Dept Wise'!$E39,Master!$N$8:$N$55,'Summary Dept Wise'!$F39)</f>
        <v>0</v>
      </c>
      <c r="T39" s="214">
        <f>SUMIFS(Master!AO$8:AO$55,Master!$J$8:$J$55,'Summary Dept Wise'!$C39,Master!$M$8:$M$55,'Summary Dept Wise'!$E39,Master!$N$8:$N$55,'Summary Dept Wise'!$F39)</f>
        <v>0</v>
      </c>
      <c r="U39" s="214">
        <f>SUMIFS(Master!AP$8:AP$55,Master!$J$8:$J$55,'Summary Dept Wise'!$C39,Master!$M$8:$M$55,'Summary Dept Wise'!$E39,Master!$N$8:$N$55,'Summary Dept Wise'!$F39)</f>
        <v>0</v>
      </c>
      <c r="V39" s="214">
        <f>SUMIFS(Master!AQ$8:AQ$55,Master!$J$8:$J$55,'Summary Dept Wise'!$C39,Master!$M$8:$M$55,'Summary Dept Wise'!$E39,Master!$N$8:$N$55,'Summary Dept Wise'!$F39)</f>
        <v>0</v>
      </c>
      <c r="W39" s="214">
        <f>SUMIFS(Master!AR$8:AR$55,Master!$J$8:$J$55,'Summary Dept Wise'!$C39,Master!$M$8:$M$55,'Summary Dept Wise'!$E39,Master!$N$8:$N$55,'Summary Dept Wise'!$F39)</f>
        <v>0</v>
      </c>
      <c r="X39" s="215"/>
      <c r="Y39" s="214">
        <f>SUMIFS(Master!AT$8:AT$55,Master!$J$8:$J$55,'Summary Dept Wise'!$C39,Master!$M$8:$M$55,'Summary Dept Wise'!$E39,Master!$N$8:$N$55,'Summary Dept Wise'!$F39)</f>
        <v>0</v>
      </c>
      <c r="Z39" s="216">
        <f t="shared" si="15"/>
        <v>0</v>
      </c>
      <c r="AA39" s="273">
        <f>SUMIFS(Master!AI$8:AI$55,Master!$J$8:$J$55,'Summary Dept Wise'!$C39,Master!$M$8:$M$55,'Summary Dept Wise'!$E39,Master!$N$8:$N$55,'Summary Dept Wise'!$F39,Master!$AV$8:$AV$55,"Paid")</f>
        <v>0</v>
      </c>
      <c r="AB39" s="273">
        <f t="shared" si="16"/>
        <v>0</v>
      </c>
      <c r="AC39" s="273">
        <f>SUMIFS(Master!BF$8:BF$55,Master!$J$8:$J$55,'Summary Dept Wise'!$C39,Master!$M$8:$M$55,'Summary Dept Wise'!$E39,Master!$N$8:$N$55,'Summary Dept Wise'!$F39)</f>
        <v>0</v>
      </c>
    </row>
    <row r="40" spans="2:29" ht="13.8" x14ac:dyDescent="0.25">
      <c r="B40" s="238"/>
      <c r="C40" s="239"/>
      <c r="D40" s="240">
        <f>SUBTOTAL(9,D33:D39)</f>
        <v>13</v>
      </c>
      <c r="E40" s="241"/>
      <c r="F40" s="463">
        <f>G40/$G$69</f>
        <v>0.17745952677459526</v>
      </c>
      <c r="G40" s="242">
        <f t="shared" ref="G40:AC40" si="20">SUBTOTAL(9,G33:G39)</f>
        <v>570000</v>
      </c>
      <c r="H40" s="242">
        <f t="shared" si="20"/>
        <v>645000</v>
      </c>
      <c r="I40" s="242">
        <f t="shared" si="20"/>
        <v>0</v>
      </c>
      <c r="J40" s="242">
        <f t="shared" si="20"/>
        <v>0</v>
      </c>
      <c r="K40" s="242">
        <f t="shared" si="20"/>
        <v>50789.473684210527</v>
      </c>
      <c r="L40" s="242">
        <f t="shared" si="20"/>
        <v>2192.9824561403511</v>
      </c>
      <c r="M40" s="230">
        <f t="shared" si="20"/>
        <v>592017.5438596491</v>
      </c>
      <c r="N40" s="242">
        <f t="shared" si="20"/>
        <v>9790</v>
      </c>
      <c r="O40" s="242">
        <f t="shared" si="20"/>
        <v>250</v>
      </c>
      <c r="P40" s="242">
        <f t="shared" si="20"/>
        <v>75000</v>
      </c>
      <c r="Q40" s="242">
        <f t="shared" si="20"/>
        <v>5000</v>
      </c>
      <c r="R40" s="230">
        <f t="shared" si="20"/>
        <v>501977.5438596491</v>
      </c>
      <c r="S40" s="243">
        <f t="shared" si="20"/>
        <v>384960</v>
      </c>
      <c r="T40" s="242">
        <f t="shared" si="20"/>
        <v>0</v>
      </c>
      <c r="U40" s="242">
        <f t="shared" si="20"/>
        <v>0</v>
      </c>
      <c r="V40" s="243">
        <f t="shared" si="20"/>
        <v>60000</v>
      </c>
      <c r="W40" s="242">
        <f t="shared" si="20"/>
        <v>31578.947368421053</v>
      </c>
      <c r="X40" s="230">
        <f t="shared" si="20"/>
        <v>476538.94736842107</v>
      </c>
      <c r="Y40" s="242">
        <f t="shared" si="20"/>
        <v>25438.596491228069</v>
      </c>
      <c r="Z40" s="244">
        <f t="shared" si="20"/>
        <v>501977.5438596491</v>
      </c>
      <c r="AA40" s="244">
        <f t="shared" si="20"/>
        <v>161578.94736842107</v>
      </c>
      <c r="AB40" s="244">
        <f t="shared" si="20"/>
        <v>340398.59649122809</v>
      </c>
      <c r="AC40" s="244">
        <f t="shared" si="20"/>
        <v>0</v>
      </c>
    </row>
    <row r="41" spans="2:29" ht="13.8" x14ac:dyDescent="0.25">
      <c r="B41" s="212"/>
      <c r="C41" s="37"/>
      <c r="D41" s="209"/>
      <c r="E41" s="213"/>
      <c r="F41" s="213"/>
      <c r="G41" s="214"/>
      <c r="H41" s="214"/>
      <c r="I41" s="214"/>
      <c r="J41" s="214"/>
      <c r="K41" s="214"/>
      <c r="L41" s="214"/>
      <c r="M41" s="215"/>
      <c r="N41" s="214"/>
      <c r="O41" s="214"/>
      <c r="P41" s="214"/>
      <c r="Q41" s="214"/>
      <c r="R41" s="215"/>
      <c r="S41" s="37"/>
      <c r="T41" s="37"/>
      <c r="U41" s="37"/>
      <c r="V41" s="37"/>
      <c r="W41" s="37"/>
      <c r="X41" s="215"/>
      <c r="Y41" s="37"/>
      <c r="Z41" s="211"/>
      <c r="AA41" s="272"/>
      <c r="AB41" s="272"/>
      <c r="AC41" s="272"/>
    </row>
    <row r="42" spans="2:29" ht="13.8" x14ac:dyDescent="0.25">
      <c r="B42" s="249" t="s">
        <v>98</v>
      </c>
      <c r="C42" s="37"/>
      <c r="D42" s="209"/>
      <c r="E42" s="213"/>
      <c r="F42" s="213"/>
      <c r="G42" s="214"/>
      <c r="H42" s="214"/>
      <c r="I42" s="214"/>
      <c r="J42" s="214"/>
      <c r="K42" s="214"/>
      <c r="L42" s="214"/>
      <c r="M42" s="215"/>
      <c r="N42" s="214"/>
      <c r="O42" s="214"/>
      <c r="P42" s="214"/>
      <c r="Q42" s="214"/>
      <c r="R42" s="215"/>
      <c r="S42" s="37"/>
      <c r="T42" s="37"/>
      <c r="U42" s="37"/>
      <c r="V42" s="37"/>
      <c r="W42" s="37"/>
      <c r="X42" s="215"/>
      <c r="Y42" s="37"/>
      <c r="Z42" s="211"/>
      <c r="AA42" s="272"/>
      <c r="AB42" s="272"/>
      <c r="AC42" s="272"/>
    </row>
    <row r="43" spans="2:29" ht="13.8" x14ac:dyDescent="0.25">
      <c r="B43" s="212"/>
      <c r="C43" s="37" t="s">
        <v>32</v>
      </c>
      <c r="D43" s="209">
        <f>COUNTIFS(Master!$J$8:$J$55,'Summary Dept Wise'!$C43,Master!$M$8:$M$55,'Summary Dept Wise'!$E43,Master!$N$8:$N$55,'Summary Dept Wise'!$F43)</f>
        <v>6</v>
      </c>
      <c r="E43" s="213" t="s">
        <v>57</v>
      </c>
      <c r="F43" s="213" t="s">
        <v>29</v>
      </c>
      <c r="G43" s="214">
        <f>SUMIFS(Master!$P$8:$P$55,Master!$J$8:$J$55,'Summary Dept Wise'!$C43,Master!$M$8:$M$55,'Summary Dept Wise'!$E43,Master!$N$8:$N$55,'Summary Dept Wise'!$F43)</f>
        <v>350000</v>
      </c>
      <c r="H43" s="214">
        <f>SUMIFS(Master!$U$8:$U$55,Master!$J$8:$J$55,'Summary Dept Wise'!$C43,Master!$M$8:$M$55,'Summary Dept Wise'!$E43,Master!$N$8:$N$55,'Summary Dept Wise'!$F43)</f>
        <v>350000</v>
      </c>
      <c r="I43" s="214">
        <f>SUMIFS(Master!$V$8:$V$55,Master!$J$8:$J$55,'Summary Dept Wise'!$C43,Master!$M$8:$M$55,'Summary Dept Wise'!$E43,Master!$N$8:$N$55,'Summary Dept Wise'!$F43)</f>
        <v>0</v>
      </c>
      <c r="J43" s="214">
        <f>SUMIFS(Master!$X$8:$X$55,Master!$J$8:$J$55,'Summary Dept Wise'!$C43,Master!$M$8:$M$55,'Summary Dept Wise'!$E43,Master!$N$8:$N$55,'Summary Dept Wise'!$F43)</f>
        <v>0</v>
      </c>
      <c r="K43" s="214">
        <f>SUMIFS(Master!$Z$8:$Z$55,Master!$J$8:$J$55,'Summary Dept Wise'!$C43,Master!$M$8:$M$55,'Summary Dept Wise'!$E43,Master!$N$8:$N$55,'Summary Dept Wise'!$F43)</f>
        <v>49250</v>
      </c>
      <c r="L43" s="214">
        <f>SUMIFS(Master!AC$8:AC$55,Master!$J$8:$J$55,'Summary Dept Wise'!$C43,Master!$M$8:$M$55,'Summary Dept Wise'!$E43,Master!$N$8:$N$55,'Summary Dept Wise'!$F43)</f>
        <v>0</v>
      </c>
      <c r="M43" s="215">
        <f>SUMIFS(Master!AD$8:AD$55,Master!$J$8:$J$55,'Summary Dept Wise'!$C43,Master!$M$8:$M$55,'Summary Dept Wise'!$E43,Master!$N$8:$N$55,'Summary Dept Wise'!$F43)</f>
        <v>300750</v>
      </c>
      <c r="N43" s="214">
        <f>SUMIFS(Master!AE$8:AE$55,Master!$J$8:$J$55,'Summary Dept Wise'!$C43,Master!$M$8:$M$55,'Summary Dept Wise'!$E43,Master!$N$8:$N$55,'Summary Dept Wise'!$F43)</f>
        <v>1400.1</v>
      </c>
      <c r="O43" s="214">
        <f>SUMIFS(Master!AF$8:AF$55,Master!$J$8:$J$55,'Summary Dept Wise'!$C43,Master!$M$8:$M$55,'Summary Dept Wise'!$E43,Master!$N$8:$N$55,'Summary Dept Wise'!$F43)</f>
        <v>250</v>
      </c>
      <c r="P43" s="615">
        <f>SUMIFS(Master!AG$8:AG$55,Master!$J$8:$J$55,'Summary Dept Wise'!$C43,Master!$M$8:$M$55,'Summary Dept Wise'!$E43,Master!$N$8:$N$55,'Summary Dept Wise'!$F43)</f>
        <v>0</v>
      </c>
      <c r="Q43" s="214">
        <f>SUMIFS(Master!AH$8:AH$55,Master!$J$8:$J$55,'Summary Dept Wise'!$C43,Master!$M$8:$M$55,'Summary Dept Wise'!$E43,Master!$N$8:$N$55,'Summary Dept Wise'!$F43)</f>
        <v>0</v>
      </c>
      <c r="R43" s="215">
        <f>SUMIFS(Master!AI$8:AI$55,Master!$J$8:$J$55,'Summary Dept Wise'!$C43,Master!$M$8:$M$55,'Summary Dept Wise'!$E43,Master!$N$8:$N$55,'Summary Dept Wise'!$F43)</f>
        <v>299099.90000000002</v>
      </c>
      <c r="S43" s="214">
        <f>SUMIFS(Master!AN$8:AN$55,Master!$J$8:$J$55,'Summary Dept Wise'!$C43,Master!$M$8:$M$55,'Summary Dept Wise'!$E43,Master!$N$8:$N$55,'Summary Dept Wise'!$F43)</f>
        <v>283349.90000000002</v>
      </c>
      <c r="T43" s="214">
        <f>SUMIFS(Master!AO$8:AO$55,Master!$J$8:$J$55,'Summary Dept Wise'!$C43,Master!$M$8:$M$55,'Summary Dept Wise'!$E43,Master!$N$8:$N$55,'Summary Dept Wise'!$F43)</f>
        <v>0</v>
      </c>
      <c r="U43" s="214">
        <f>SUMIFS(Master!AP$8:AP$55,Master!$J$8:$J$55,'Summary Dept Wise'!$C43,Master!$M$8:$M$55,'Summary Dept Wise'!$E43,Master!$N$8:$N$55,'Summary Dept Wise'!$F43)</f>
        <v>0</v>
      </c>
      <c r="V43" s="214">
        <f>SUMIFS(Master!AQ$8:AQ$55,Master!$J$8:$J$55,'Summary Dept Wise'!$C43,Master!$M$8:$M$55,'Summary Dept Wise'!$E43,Master!$N$8:$N$55,'Summary Dept Wise'!$F43)</f>
        <v>5250</v>
      </c>
      <c r="W43" s="214">
        <f>SUMIFS(Master!AR$8:AR$55,Master!$J$8:$J$55,'Summary Dept Wise'!$C43,Master!$M$8:$M$55,'Summary Dept Wise'!$E43,Master!$N$8:$N$55,'Summary Dept Wise'!$F43)</f>
        <v>10500</v>
      </c>
      <c r="X43" s="215">
        <f t="shared" ref="X43:X44" si="21">SUM(S43:W43)</f>
        <v>299099.90000000002</v>
      </c>
      <c r="Y43" s="214">
        <f>SUMIFS(Master!AT$8:AT$55,Master!$J$8:$J$55,'Summary Dept Wise'!$C43,Master!$M$8:$M$55,'Summary Dept Wise'!$E43,Master!$N$8:$N$55,'Summary Dept Wise'!$F43)</f>
        <v>0</v>
      </c>
      <c r="Z43" s="216">
        <f t="shared" ref="Z43:Z45" si="22">SUM(X43:Y43)</f>
        <v>299099.90000000002</v>
      </c>
      <c r="AA43" s="273">
        <f>SUMIFS(Master!AI$8:AI$55,Master!$J$8:$J$55,'Summary Dept Wise'!$C43,Master!$M$8:$M$55,'Summary Dept Wise'!$E43,Master!$N$8:$N$55,'Summary Dept Wise'!$F43,Master!$AV$8:$AV$55,"Paid")</f>
        <v>15750</v>
      </c>
      <c r="AB43" s="273">
        <f>+Z43-AA43</f>
        <v>283349.90000000002</v>
      </c>
      <c r="AC43" s="273">
        <f>SUMIFS(Master!BF$8:BF$55,Master!$J$8:$J$55,'Summary Dept Wise'!$C43,Master!$M$8:$M$55,'Summary Dept Wise'!$E43,Master!$N$8:$N$55,'Summary Dept Wise'!$F43)</f>
        <v>0</v>
      </c>
    </row>
    <row r="44" spans="2:29" ht="13.8" x14ac:dyDescent="0.25">
      <c r="B44" s="212"/>
      <c r="C44" s="37" t="s">
        <v>56</v>
      </c>
      <c r="D44" s="209">
        <f>COUNTIFS(Master!$J$8:$J$55,'Summary Dept Wise'!$C44,Master!$M$8:$M$55,'Summary Dept Wise'!$E44,Master!$N$8:$N$55,'Summary Dept Wise'!$F44)</f>
        <v>2</v>
      </c>
      <c r="E44" s="213" t="s">
        <v>57</v>
      </c>
      <c r="F44" s="213" t="s">
        <v>29</v>
      </c>
      <c r="G44" s="214">
        <f>SUMIFS(Master!$P$8:$P$55,Master!$J$8:$J$55,'Summary Dept Wise'!$C44,Master!$M$8:$M$55,'Summary Dept Wise'!$E44,Master!$N$8:$N$55,'Summary Dept Wise'!$F44)</f>
        <v>175000</v>
      </c>
      <c r="H44" s="214">
        <f>SUMIFS(Master!$U$8:$U$55,Master!$J$8:$J$55,'Summary Dept Wise'!$C44,Master!$M$8:$M$55,'Summary Dept Wise'!$E44,Master!$N$8:$N$55,'Summary Dept Wise'!$F44)</f>
        <v>260000</v>
      </c>
      <c r="I44" s="214">
        <f>SUMIFS(Master!$V$8:$V$55,Master!$J$8:$J$55,'Summary Dept Wise'!$C44,Master!$M$8:$M$55,'Summary Dept Wise'!$E44,Master!$N$8:$N$55,'Summary Dept Wise'!$F44)</f>
        <v>0</v>
      </c>
      <c r="J44" s="214">
        <f>SUMIFS(Master!$X$8:$X$55,Master!$J$8:$J$55,'Summary Dept Wise'!$C44,Master!$M$8:$M$55,'Summary Dept Wise'!$E44,Master!$N$8:$N$55,'Summary Dept Wise'!$F44)</f>
        <v>0</v>
      </c>
      <c r="K44" s="214">
        <f>SUMIFS(Master!$Z$8:$Z$55,Master!$J$8:$J$55,'Summary Dept Wise'!$C44,Master!$M$8:$M$55,'Summary Dept Wise'!$E44,Master!$N$8:$N$55,'Summary Dept Wise'!$F44)</f>
        <v>0</v>
      </c>
      <c r="L44" s="214">
        <f>SUMIFS(Master!AC$8:AC$55,Master!$J$8:$J$55,'Summary Dept Wise'!$C44,Master!$M$8:$M$55,'Summary Dept Wise'!$E44,Master!$N$8:$N$55,'Summary Dept Wise'!$F44)</f>
        <v>0</v>
      </c>
      <c r="M44" s="215">
        <f>SUMIFS(Master!AD$8:AD$55,Master!$J$8:$J$55,'Summary Dept Wise'!$C44,Master!$M$8:$M$55,'Summary Dept Wise'!$E44,Master!$N$8:$N$55,'Summary Dept Wise'!$F44)</f>
        <v>260000</v>
      </c>
      <c r="N44" s="214">
        <f>SUMIFS(Master!AE$8:AE$55,Master!$J$8:$J$55,'Summary Dept Wise'!$C44,Master!$M$8:$M$55,'Summary Dept Wise'!$E44,Master!$N$8:$N$55,'Summary Dept Wise'!$F44)</f>
        <v>1941.2</v>
      </c>
      <c r="O44" s="214">
        <f>SUMIFS(Master!AF$8:AF$55,Master!$J$8:$J$55,'Summary Dept Wise'!$C44,Master!$M$8:$M$55,'Summary Dept Wise'!$E44,Master!$N$8:$N$55,'Summary Dept Wise'!$F44)</f>
        <v>250</v>
      </c>
      <c r="P44" s="214">
        <f>SUMIFS(Master!AG$8:AG$55,Master!$J$8:$J$55,'Summary Dept Wise'!$C44,Master!$M$8:$M$55,'Summary Dept Wise'!$E44,Master!$N$8:$N$55,'Summary Dept Wise'!$F44)</f>
        <v>85000</v>
      </c>
      <c r="Q44" s="214">
        <f>SUMIFS(Master!AH$8:AH$55,Master!$J$8:$J$55,'Summary Dept Wise'!$C44,Master!$M$8:$M$55,'Summary Dept Wise'!$E44,Master!$N$8:$N$55,'Summary Dept Wise'!$F44)</f>
        <v>0</v>
      </c>
      <c r="R44" s="215">
        <f>SUMIFS(Master!AI$8:AI$55,Master!$J$8:$J$55,'Summary Dept Wise'!$C44,Master!$M$8:$M$55,'Summary Dept Wise'!$E44,Master!$N$8:$N$55,'Summary Dept Wise'!$F44)</f>
        <v>172808.8</v>
      </c>
      <c r="S44" s="214">
        <f>SUMIFS(Master!AN$8:AN$55,Master!$J$8:$J$55,'Summary Dept Wise'!$C44,Master!$M$8:$M$55,'Summary Dept Wise'!$E44,Master!$N$8:$N$55,'Summary Dept Wise'!$F44)</f>
        <v>172808.8</v>
      </c>
      <c r="T44" s="214">
        <f>SUMIFS(Master!AO$8:AO$55,Master!$J$8:$J$55,'Summary Dept Wise'!$C44,Master!$M$8:$M$55,'Summary Dept Wise'!$E44,Master!$N$8:$N$55,'Summary Dept Wise'!$F44)</f>
        <v>0</v>
      </c>
      <c r="U44" s="214">
        <f>SUMIFS(Master!AP$8:AP$55,Master!$J$8:$J$55,'Summary Dept Wise'!$C44,Master!$M$8:$M$55,'Summary Dept Wise'!$E44,Master!$N$8:$N$55,'Summary Dept Wise'!$F44)</f>
        <v>0</v>
      </c>
      <c r="V44" s="214">
        <f>SUMIFS(Master!AQ$8:AQ$55,Master!$J$8:$J$55,'Summary Dept Wise'!$C44,Master!$M$8:$M$55,'Summary Dept Wise'!$E44,Master!$N$8:$N$55,'Summary Dept Wise'!$F44)</f>
        <v>0</v>
      </c>
      <c r="W44" s="214">
        <f>SUMIFS(Master!AR$8:AR$55,Master!$J$8:$J$55,'Summary Dept Wise'!$C44,Master!$M$8:$M$55,'Summary Dept Wise'!$E44,Master!$N$8:$N$55,'Summary Dept Wise'!$F44)</f>
        <v>0</v>
      </c>
      <c r="X44" s="215">
        <f t="shared" si="21"/>
        <v>172808.8</v>
      </c>
      <c r="Y44" s="214">
        <f>SUMIFS(Master!AT$8:AT$55,Master!$J$8:$J$55,'Summary Dept Wise'!$C44,Master!$M$8:$M$55,'Summary Dept Wise'!$E44,Master!$N$8:$N$55,'Summary Dept Wise'!$F44)</f>
        <v>0</v>
      </c>
      <c r="Z44" s="216">
        <f t="shared" si="22"/>
        <v>172808.8</v>
      </c>
      <c r="AA44" s="273">
        <f>SUMIFS(Master!AI$8:AI$55,Master!$J$8:$J$55,'Summary Dept Wise'!$C44,Master!$M$8:$M$55,'Summary Dept Wise'!$E44,Master!$N$8:$N$55,'Summary Dept Wise'!$F44,Master!$AV$8:$AV$55,"Paid")</f>
        <v>0</v>
      </c>
      <c r="AB44" s="273">
        <f>+Z44-AA44</f>
        <v>172808.8</v>
      </c>
      <c r="AC44" s="273">
        <f>SUMIFS(Master!BF$8:BF$55,Master!$J$8:$J$55,'Summary Dept Wise'!$C44,Master!$M$8:$M$55,'Summary Dept Wise'!$E44,Master!$N$8:$N$55,'Summary Dept Wise'!$F44)</f>
        <v>0</v>
      </c>
    </row>
    <row r="45" spans="2:29" ht="13.8" hidden="1" x14ac:dyDescent="0.25">
      <c r="B45" s="212"/>
      <c r="C45" s="37" t="s">
        <v>40</v>
      </c>
      <c r="D45" s="209">
        <f>COUNTIFS(Master!$J$8:$J$55,'Summary Dept Wise'!$C45,Master!$M$8:$M$55,'Summary Dept Wise'!$E45,Master!$N$8:$N$55,'Summary Dept Wise'!$F45)</f>
        <v>0</v>
      </c>
      <c r="E45" s="213" t="s">
        <v>57</v>
      </c>
      <c r="F45" s="213" t="s">
        <v>29</v>
      </c>
      <c r="G45" s="214">
        <f>SUMIFS(Master!$P$8:$P$55,Master!$J$8:$J$55,'Summary Dept Wise'!$C45,Master!$M$8:$M$55,'Summary Dept Wise'!$E45,Master!$N$8:$N$55,'Summary Dept Wise'!$F45)</f>
        <v>0</v>
      </c>
      <c r="H45" s="214">
        <f>SUMIFS(Master!$U$8:$U$55,Master!$J$8:$J$55,'Summary Dept Wise'!$C45,Master!$M$8:$M$55,'Summary Dept Wise'!$E45,Master!$N$8:$N$55,'Summary Dept Wise'!$F45)</f>
        <v>0</v>
      </c>
      <c r="I45" s="214">
        <f>SUMIFS(Master!$V$8:$V$55,Master!$J$8:$J$55,'Summary Dept Wise'!$C45,Master!$M$8:$M$55,'Summary Dept Wise'!$E45,Master!$N$8:$N$55,'Summary Dept Wise'!$F45)</f>
        <v>0</v>
      </c>
      <c r="J45" s="214">
        <f>SUMIFS(Master!$X$8:$X$55,Master!$J$8:$J$55,'Summary Dept Wise'!$C45,Master!$M$8:$M$55,'Summary Dept Wise'!$E45,Master!$N$8:$N$55,'Summary Dept Wise'!$F45)</f>
        <v>0</v>
      </c>
      <c r="K45" s="214">
        <f>SUMIFS(Master!$Z$8:$Z$55,Master!$J$8:$J$55,'Summary Dept Wise'!$C45,Master!$M$8:$M$55,'Summary Dept Wise'!$E45,Master!$N$8:$N$55,'Summary Dept Wise'!$F45)</f>
        <v>0</v>
      </c>
      <c r="L45" s="214">
        <f>SUMIFS(Master!AC$8:AC$55,Master!$J$8:$J$55,'Summary Dept Wise'!$C45,Master!$M$8:$M$55,'Summary Dept Wise'!$E45,Master!$N$8:$N$55,'Summary Dept Wise'!$F45)</f>
        <v>0</v>
      </c>
      <c r="M45" s="215">
        <f>SUMIFS(Master!AD$8:AD$55,Master!$J$8:$J$55,'Summary Dept Wise'!$C45,Master!$M$8:$M$55,'Summary Dept Wise'!$E45,Master!$N$8:$N$55,'Summary Dept Wise'!$F45)</f>
        <v>0</v>
      </c>
      <c r="N45" s="214">
        <f>SUMIFS(Master!AE$8:AE$55,Master!$J$8:$J$55,'Summary Dept Wise'!$C45,Master!$M$8:$M$55,'Summary Dept Wise'!$E45,Master!$N$8:$N$55,'Summary Dept Wise'!$F45)</f>
        <v>0</v>
      </c>
      <c r="O45" s="214">
        <f>SUMIFS(Master!AF$8:AF$55,Master!$J$8:$J$55,'Summary Dept Wise'!$C45,Master!$M$8:$M$55,'Summary Dept Wise'!$E45,Master!$N$8:$N$55,'Summary Dept Wise'!$F45)</f>
        <v>0</v>
      </c>
      <c r="P45" s="214">
        <f>SUMIFS(Master!AG$8:AG$55,Master!$J$8:$J$55,'Summary Dept Wise'!$C45,Master!$M$8:$M$55,'Summary Dept Wise'!$E45,Master!$N$8:$N$55,'Summary Dept Wise'!$F45)</f>
        <v>0</v>
      </c>
      <c r="Q45" s="214">
        <f>SUMIFS(Master!AH$8:AH$55,Master!$J$8:$J$55,'Summary Dept Wise'!$C45,Master!$M$8:$M$55,'Summary Dept Wise'!$E45,Master!$N$8:$N$55,'Summary Dept Wise'!$F45)</f>
        <v>0</v>
      </c>
      <c r="R45" s="215">
        <f>SUMIFS(Master!AI$8:AI$55,Master!$J$8:$J$55,'Summary Dept Wise'!$C45,Master!$M$8:$M$55,'Summary Dept Wise'!$E45,Master!$N$8:$N$55,'Summary Dept Wise'!$F45)</f>
        <v>0</v>
      </c>
      <c r="S45" s="214">
        <f>SUMIFS(Master!AN$8:AN$55,Master!$J$8:$J$55,'Summary Dept Wise'!$C45,Master!$M$8:$M$55,'Summary Dept Wise'!$E45,Master!$N$8:$N$55,'Summary Dept Wise'!$F45)</f>
        <v>0</v>
      </c>
      <c r="T45" s="214">
        <f>SUMIFS(Master!AO$8:AO$55,Master!$J$8:$J$55,'Summary Dept Wise'!$C45,Master!$M$8:$M$55,'Summary Dept Wise'!$E45,Master!$N$8:$N$55,'Summary Dept Wise'!$F45)</f>
        <v>0</v>
      </c>
      <c r="U45" s="214">
        <f>SUMIFS(Master!AP$8:AP$55,Master!$J$8:$J$55,'Summary Dept Wise'!$C45,Master!$M$8:$M$55,'Summary Dept Wise'!$E45,Master!$N$8:$N$55,'Summary Dept Wise'!$F45)</f>
        <v>0</v>
      </c>
      <c r="V45" s="214">
        <f>SUMIFS(Master!AQ$8:AQ$55,Master!$J$8:$J$55,'Summary Dept Wise'!$C45,Master!$M$8:$M$55,'Summary Dept Wise'!$E45,Master!$N$8:$N$55,'Summary Dept Wise'!$F45)</f>
        <v>0</v>
      </c>
      <c r="W45" s="214">
        <f>SUMIFS(Master!AR$8:AR$55,Master!$J$8:$J$55,'Summary Dept Wise'!$C45,Master!$M$8:$M$55,'Summary Dept Wise'!$E45,Master!$N$8:$N$55,'Summary Dept Wise'!$F45)</f>
        <v>0</v>
      </c>
      <c r="X45" s="215"/>
      <c r="Y45" s="214">
        <f>SUMIFS(Master!AT$8:AT$55,Master!$J$8:$J$55,'Summary Dept Wise'!$C45,Master!$M$8:$M$55,'Summary Dept Wise'!$E45,Master!$N$8:$N$55,'Summary Dept Wise'!$F45)</f>
        <v>0</v>
      </c>
      <c r="Z45" s="216">
        <f t="shared" si="22"/>
        <v>0</v>
      </c>
      <c r="AA45" s="273">
        <f>SUMIFS(Master!AI$8:AI$55,Master!$J$8:$J$55,'Summary Dept Wise'!$C45,Master!$M$8:$M$55,'Summary Dept Wise'!$E45,Master!$N$8:$N$55,'Summary Dept Wise'!$F45,Master!$AV$8:$AV$55,"Paid")</f>
        <v>0</v>
      </c>
      <c r="AB45" s="273">
        <f>+Z45-AA45</f>
        <v>0</v>
      </c>
      <c r="AC45" s="273">
        <f>SUMIFS(Master!BF$8:BF$55,Master!$J$8:$J$55,'Summary Dept Wise'!$C45,Master!$M$8:$M$55,'Summary Dept Wise'!$E45,Master!$N$8:$N$55,'Summary Dept Wise'!$F45)</f>
        <v>0</v>
      </c>
    </row>
    <row r="46" spans="2:29" ht="13.8" x14ac:dyDescent="0.25">
      <c r="B46" s="238"/>
      <c r="C46" s="239"/>
      <c r="D46" s="240">
        <f>SUBTOTAL(9,D43:D45)</f>
        <v>8</v>
      </c>
      <c r="E46" s="241"/>
      <c r="F46" s="463">
        <f>G46/$G$69</f>
        <v>0.16344956413449563</v>
      </c>
      <c r="G46" s="242">
        <f>SUBTOTAL(9,G43:G45)</f>
        <v>525000</v>
      </c>
      <c r="H46" s="242">
        <f>SUBTOTAL(9,H43:H45)</f>
        <v>610000</v>
      </c>
      <c r="I46" s="242">
        <f t="shared" ref="I46:AC46" si="23">SUBTOTAL(9,I43:I45)</f>
        <v>0</v>
      </c>
      <c r="J46" s="242">
        <f t="shared" si="23"/>
        <v>0</v>
      </c>
      <c r="K46" s="242">
        <f t="shared" si="23"/>
        <v>49250</v>
      </c>
      <c r="L46" s="242">
        <f t="shared" si="23"/>
        <v>0</v>
      </c>
      <c r="M46" s="230">
        <f t="shared" si="23"/>
        <v>560750</v>
      </c>
      <c r="N46" s="242">
        <f t="shared" si="23"/>
        <v>3341.3</v>
      </c>
      <c r="O46" s="242">
        <f t="shared" si="23"/>
        <v>500</v>
      </c>
      <c r="P46" s="242">
        <f t="shared" si="23"/>
        <v>85000</v>
      </c>
      <c r="Q46" s="242">
        <f t="shared" si="23"/>
        <v>0</v>
      </c>
      <c r="R46" s="230">
        <f t="shared" si="23"/>
        <v>471908.7</v>
      </c>
      <c r="S46" s="243">
        <f>SUBTOTAL(9,S43:S45)</f>
        <v>456158.7</v>
      </c>
      <c r="T46" s="242">
        <f t="shared" si="23"/>
        <v>0</v>
      </c>
      <c r="U46" s="242">
        <f t="shared" si="23"/>
        <v>0</v>
      </c>
      <c r="V46" s="242">
        <f t="shared" si="23"/>
        <v>5250</v>
      </c>
      <c r="W46" s="242">
        <f t="shared" si="23"/>
        <v>10500</v>
      </c>
      <c r="X46" s="230">
        <f t="shared" si="23"/>
        <v>471908.7</v>
      </c>
      <c r="Y46" s="242">
        <f t="shared" si="23"/>
        <v>0</v>
      </c>
      <c r="Z46" s="242">
        <f t="shared" si="23"/>
        <v>471908.7</v>
      </c>
      <c r="AA46" s="242">
        <f t="shared" si="23"/>
        <v>15750</v>
      </c>
      <c r="AB46" s="242">
        <f t="shared" si="23"/>
        <v>456158.7</v>
      </c>
      <c r="AC46" s="242">
        <f t="shared" si="23"/>
        <v>0</v>
      </c>
    </row>
    <row r="47" spans="2:29" ht="13.8" x14ac:dyDescent="0.25">
      <c r="B47" s="212"/>
      <c r="C47" s="37"/>
      <c r="D47" s="245"/>
      <c r="E47" s="213"/>
      <c r="F47" s="213"/>
      <c r="G47" s="250"/>
      <c r="H47" s="250"/>
      <c r="I47" s="250"/>
      <c r="J47" s="214"/>
      <c r="K47" s="250"/>
      <c r="L47" s="250"/>
      <c r="M47" s="247"/>
      <c r="N47" s="250"/>
      <c r="O47" s="250"/>
      <c r="P47" s="250"/>
      <c r="Q47" s="250"/>
      <c r="R47" s="247"/>
      <c r="S47" s="37"/>
      <c r="T47" s="37"/>
      <c r="U47" s="37"/>
      <c r="V47" s="37"/>
      <c r="W47" s="37"/>
      <c r="X47" s="247"/>
      <c r="Y47" s="37"/>
      <c r="Z47" s="211"/>
      <c r="AA47" s="272"/>
      <c r="AB47" s="272"/>
      <c r="AC47" s="272"/>
    </row>
    <row r="48" spans="2:29" ht="13.8" x14ac:dyDescent="0.25">
      <c r="B48" s="249" t="s">
        <v>464</v>
      </c>
      <c r="C48" s="37"/>
      <c r="D48" s="209"/>
      <c r="E48" s="213"/>
      <c r="F48" s="213"/>
      <c r="G48" s="214"/>
      <c r="H48" s="214"/>
      <c r="I48" s="214"/>
      <c r="J48" s="214"/>
      <c r="K48" s="214"/>
      <c r="L48" s="214"/>
      <c r="M48" s="215"/>
      <c r="N48" s="214"/>
      <c r="O48" s="214"/>
      <c r="P48" s="214"/>
      <c r="Q48" s="214"/>
      <c r="R48" s="215"/>
      <c r="S48" s="37"/>
      <c r="T48" s="37"/>
      <c r="U48" s="37"/>
      <c r="V48" s="37"/>
      <c r="W48" s="37"/>
      <c r="X48" s="215"/>
      <c r="Y48" s="37"/>
      <c r="Z48" s="211"/>
      <c r="AA48" s="272"/>
      <c r="AB48" s="272"/>
      <c r="AC48" s="272"/>
    </row>
    <row r="49" spans="2:29" ht="13.8" x14ac:dyDescent="0.25">
      <c r="B49" s="212"/>
      <c r="C49" s="37" t="s">
        <v>32</v>
      </c>
      <c r="D49" s="209">
        <f>COUNTIFS(Master!$J$8:$J$55,'Summary Dept Wise'!$C49,Master!$M$8:$M$55,'Summary Dept Wise'!$E49,Master!$N$8:$N$55,'Summary Dept Wise'!$F49)</f>
        <v>2</v>
      </c>
      <c r="E49" s="213" t="s">
        <v>57</v>
      </c>
      <c r="F49" s="213" t="s">
        <v>169</v>
      </c>
      <c r="G49" s="214">
        <f>SUMIFS(Master!$P$8:$P$55,Master!$J$8:$J$55,'Summary Dept Wise'!$C49,Master!$M$8:$M$55,'Summary Dept Wise'!$E49,Master!$N$8:$N$55,'Summary Dept Wise'!$F49)</f>
        <v>130000</v>
      </c>
      <c r="H49" s="214">
        <f>SUMIFS(Master!$U$8:$U$55,Master!$J$8:$J$55,'Summary Dept Wise'!$C49,Master!$M$8:$M$55,'Summary Dept Wise'!$E49,Master!$N$8:$N$55,'Summary Dept Wise'!$F49)</f>
        <v>130000</v>
      </c>
      <c r="I49" s="214">
        <f>SUMIFS(Master!$V$8:$V$55,Master!$J$8:$J$55,'Summary Dept Wise'!$C49,Master!$M$8:$M$55,'Summary Dept Wise'!$E49,Master!$N$8:$N$55,'Summary Dept Wise'!$F49)</f>
        <v>0</v>
      </c>
      <c r="J49" s="214">
        <f>SUMIFS(Master!$X$8:$X$55,Master!$J$8:$J$55,'Summary Dept Wise'!$C49,Master!$M$8:$M$55,'Summary Dept Wise'!$E49,Master!$N$8:$N$55,'Summary Dept Wise'!$F49)</f>
        <v>0</v>
      </c>
      <c r="K49" s="214">
        <f>SUMIFS(Master!$Z$8:$Z$55,Master!$J$8:$J$55,'Summary Dept Wise'!$C49,Master!$M$8:$M$55,'Summary Dept Wise'!$E49,Master!$N$8:$N$55,'Summary Dept Wise'!$F49)</f>
        <v>0</v>
      </c>
      <c r="L49" s="214">
        <f>SUMIFS(Master!AC$8:AC$55,Master!$J$8:$J$55,'Summary Dept Wise'!$C49,Master!$M$8:$M$55,'Summary Dept Wise'!$E49,Master!$N$8:$N$55,'Summary Dept Wise'!$F49)</f>
        <v>0</v>
      </c>
      <c r="M49" s="215">
        <f>SUMIFS(Master!AD$8:AD$55,Master!$J$8:$J$55,'Summary Dept Wise'!$C49,Master!$M$8:$M$55,'Summary Dept Wise'!$E49,Master!$N$8:$N$55,'Summary Dept Wise'!$F49)</f>
        <v>130000</v>
      </c>
      <c r="N49" s="214">
        <f>SUMIFS(Master!AE$8:AE$55,Master!$J$8:$J$55,'Summary Dept Wise'!$C49,Master!$M$8:$M$55,'Summary Dept Wise'!$E49,Master!$N$8:$N$55,'Summary Dept Wise'!$F49)</f>
        <v>1790.25</v>
      </c>
      <c r="O49" s="214">
        <f>SUMIFS(Master!AF$8:AF$55,Master!$J$8:$J$55,'Summary Dept Wise'!$C49,Master!$M$8:$M$55,'Summary Dept Wise'!$E49,Master!$N$8:$N$55,'Summary Dept Wise'!$F49)</f>
        <v>0</v>
      </c>
      <c r="P49" s="214">
        <f>SUMIFS(Master!AG$8:AG$55,Master!$J$8:$J$55,'Summary Dept Wise'!$C49,Master!$M$8:$M$55,'Summary Dept Wise'!$E49,Master!$N$8:$N$55,'Summary Dept Wise'!$F49)</f>
        <v>0</v>
      </c>
      <c r="Q49" s="214">
        <f>SUMIFS(Master!AH$8:AH$55,Master!$J$8:$J$55,'Summary Dept Wise'!$C49,Master!$M$8:$M$55,'Summary Dept Wise'!$E49,Master!$N$8:$N$55,'Summary Dept Wise'!$F49)</f>
        <v>0</v>
      </c>
      <c r="R49" s="215">
        <f>SUMIFS(Master!AI$8:AI$55,Master!$J$8:$J$55,'Summary Dept Wise'!$C49,Master!$M$8:$M$55,'Summary Dept Wise'!$E49,Master!$N$8:$N$55,'Summary Dept Wise'!$F49)</f>
        <v>128209.75</v>
      </c>
      <c r="S49" s="214">
        <f>SUMIFS(Master!AN$8:AN$55,Master!$J$8:$J$55,'Summary Dept Wise'!$C49,Master!$M$8:$M$55,'Summary Dept Wise'!$E49,Master!$N$8:$N$55,'Summary Dept Wise'!$F49)</f>
        <v>128209.75</v>
      </c>
      <c r="T49" s="214">
        <f>SUMIFS(Master!AO$8:AO$55,Master!$J$8:$J$55,'Summary Dept Wise'!$C49,Master!$M$8:$M$55,'Summary Dept Wise'!$E49,Master!$N$8:$N$55,'Summary Dept Wise'!$F49)</f>
        <v>0</v>
      </c>
      <c r="U49" s="214">
        <f>SUMIFS(Master!AP$8:AP$55,Master!$J$8:$J$55,'Summary Dept Wise'!$C49,Master!$M$8:$M$55,'Summary Dept Wise'!$E49,Master!$N$8:$N$55,'Summary Dept Wise'!$F49)</f>
        <v>0</v>
      </c>
      <c r="V49" s="214">
        <f>SUMIFS(Master!AQ$8:AQ$55,Master!$J$8:$J$55,'Summary Dept Wise'!$C49,Master!$M$8:$M$55,'Summary Dept Wise'!$E49,Master!$N$8:$N$55,'Summary Dept Wise'!$F49)</f>
        <v>0</v>
      </c>
      <c r="W49" s="214">
        <f>SUMIFS(Master!AR$8:AR$55,Master!$J$8:$J$55,'Summary Dept Wise'!$C49,Master!$M$8:$M$55,'Summary Dept Wise'!$E49,Master!$N$8:$N$55,'Summary Dept Wise'!$F49)</f>
        <v>0</v>
      </c>
      <c r="X49" s="215">
        <f t="shared" ref="X49:X50" si="24">SUM(S49:W49)</f>
        <v>128209.75</v>
      </c>
      <c r="Y49" s="214">
        <f>SUMIFS(Master!AT$8:AT$55,Master!$J$8:$J$55,'Summary Dept Wise'!$C49,Master!$M$8:$M$55,'Summary Dept Wise'!$E49,Master!$N$8:$N$55,'Summary Dept Wise'!$F49)</f>
        <v>0</v>
      </c>
      <c r="Z49" s="216">
        <f t="shared" ref="Z49:Z50" si="25">SUM(X49:Y49)</f>
        <v>128209.75</v>
      </c>
      <c r="AA49" s="273">
        <f>SUMIFS(Master!AI$8:AI$55,Master!$J$8:$J$55,'Summary Dept Wise'!$C49,Master!$M$8:$M$55,'Summary Dept Wise'!$E49,Master!$N$8:$N$55,'Summary Dept Wise'!$F49,Master!$AV$8:$AV$55,"Paid")</f>
        <v>0</v>
      </c>
      <c r="AB49" s="273">
        <f>+Z49-AA49</f>
        <v>128209.75</v>
      </c>
      <c r="AC49" s="273">
        <f>SUMIFS(Master!BF$8:BF$55,Master!$J$8:$J$55,'Summary Dept Wise'!$C49,Master!$M$8:$M$55,'Summary Dept Wise'!$E49,Master!$N$8:$N$55,'Summary Dept Wise'!$F49)</f>
        <v>0</v>
      </c>
    </row>
    <row r="50" spans="2:29" ht="13.8" hidden="1" x14ac:dyDescent="0.25">
      <c r="B50" s="212"/>
      <c r="C50" s="37" t="s">
        <v>56</v>
      </c>
      <c r="D50" s="209">
        <f>COUNTIFS(Master!$J$8:$J$55,'Summary Dept Wise'!$C50,Master!$M$8:$M$55,'Summary Dept Wise'!$E50,Master!$N$8:$N$55,'Summary Dept Wise'!$F50)</f>
        <v>0</v>
      </c>
      <c r="E50" s="213" t="s">
        <v>57</v>
      </c>
      <c r="F50" s="213" t="s">
        <v>169</v>
      </c>
      <c r="G50" s="214">
        <f>SUMIFS(Master!$P$8:$P$55,Master!$J$8:$J$55,'Summary Dept Wise'!$C50,Master!$M$8:$M$55,'Summary Dept Wise'!$E50,Master!$N$8:$N$55,'Summary Dept Wise'!$F50)</f>
        <v>0</v>
      </c>
      <c r="H50" s="214">
        <f>SUMIFS(Master!$U$8:$U$55,Master!$J$8:$J$55,'Summary Dept Wise'!$C50,Master!$M$8:$M$55,'Summary Dept Wise'!$E50,Master!$N$8:$N$55,'Summary Dept Wise'!$F50)</f>
        <v>0</v>
      </c>
      <c r="I50" s="214">
        <f>SUMIFS(Master!$V$8:$V$55,Master!$J$8:$J$55,'Summary Dept Wise'!$C50,Master!$M$8:$M$55,'Summary Dept Wise'!$E50,Master!$N$8:$N$55,'Summary Dept Wise'!$F50)</f>
        <v>0</v>
      </c>
      <c r="J50" s="214">
        <f>SUMIFS(Master!$X$8:$X$55,Master!$J$8:$J$55,'Summary Dept Wise'!$C50,Master!$M$8:$M$55,'Summary Dept Wise'!$E50,Master!$N$8:$N$55,'Summary Dept Wise'!$F50)</f>
        <v>0</v>
      </c>
      <c r="K50" s="214">
        <f>SUMIFS(Master!$Z$8:$Z$55,Master!$J$8:$J$55,'Summary Dept Wise'!$C50,Master!$M$8:$M$55,'Summary Dept Wise'!$E50,Master!$N$8:$N$55,'Summary Dept Wise'!$F50)</f>
        <v>0</v>
      </c>
      <c r="L50" s="214">
        <f>SUMIFS(Master!AC$8:AC$55,Master!$J$8:$J$55,'Summary Dept Wise'!$C50,Master!$M$8:$M$55,'Summary Dept Wise'!$E50,Master!$N$8:$N$55,'Summary Dept Wise'!$F50)</f>
        <v>0</v>
      </c>
      <c r="M50" s="215">
        <f>SUMIFS(Master!AD$8:AD$55,Master!$J$8:$J$55,'Summary Dept Wise'!$C50,Master!$M$8:$M$55,'Summary Dept Wise'!$E50,Master!$N$8:$N$55,'Summary Dept Wise'!$F50)</f>
        <v>0</v>
      </c>
      <c r="N50" s="214">
        <f>SUMIFS(Master!AE$8:AE$55,Master!$J$8:$J$55,'Summary Dept Wise'!$C50,Master!$M$8:$M$55,'Summary Dept Wise'!$E50,Master!$N$8:$N$55,'Summary Dept Wise'!$F50)</f>
        <v>0</v>
      </c>
      <c r="O50" s="214">
        <f>SUMIFS(Master!AF$8:AF$55,Master!$J$8:$J$55,'Summary Dept Wise'!$C50,Master!$M$8:$M$55,'Summary Dept Wise'!$E50,Master!$N$8:$N$55,'Summary Dept Wise'!$F50)</f>
        <v>0</v>
      </c>
      <c r="P50" s="214">
        <f>SUMIFS(Master!AG$8:AG$55,Master!$J$8:$J$55,'Summary Dept Wise'!$C50,Master!$M$8:$M$55,'Summary Dept Wise'!$E50,Master!$N$8:$N$55,'Summary Dept Wise'!$F50)</f>
        <v>0</v>
      </c>
      <c r="Q50" s="214">
        <f>SUMIFS(Master!AH$8:AH$55,Master!$J$8:$J$55,'Summary Dept Wise'!$C50,Master!$M$8:$M$55,'Summary Dept Wise'!$E50,Master!$N$8:$N$55,'Summary Dept Wise'!$F50)</f>
        <v>0</v>
      </c>
      <c r="R50" s="215">
        <f>SUMIFS(Master!AI$8:AI$55,Master!$J$8:$J$55,'Summary Dept Wise'!$C50,Master!$M$8:$M$55,'Summary Dept Wise'!$E50,Master!$N$8:$N$55,'Summary Dept Wise'!$F50)</f>
        <v>0</v>
      </c>
      <c r="S50" s="214">
        <f>SUMIFS(Master!AN$8:AN$55,Master!$J$8:$J$55,'Summary Dept Wise'!$C50,Master!$M$8:$M$55,'Summary Dept Wise'!$E50,Master!$N$8:$N$55,'Summary Dept Wise'!$F50)</f>
        <v>0</v>
      </c>
      <c r="T50" s="214">
        <f>SUMIFS(Master!AO$8:AO$55,Master!$J$8:$J$55,'Summary Dept Wise'!$C50,Master!$M$8:$M$55,'Summary Dept Wise'!$E50,Master!$N$8:$N$55,'Summary Dept Wise'!$F50)</f>
        <v>0</v>
      </c>
      <c r="U50" s="214">
        <f>SUMIFS(Master!AP$8:AP$55,Master!$J$8:$J$55,'Summary Dept Wise'!$C50,Master!$M$8:$M$55,'Summary Dept Wise'!$E50,Master!$N$8:$N$55,'Summary Dept Wise'!$F50)</f>
        <v>0</v>
      </c>
      <c r="V50" s="214">
        <f>SUMIFS(Master!AQ$8:AQ$55,Master!$J$8:$J$55,'Summary Dept Wise'!$C50,Master!$M$8:$M$55,'Summary Dept Wise'!$E50,Master!$N$8:$N$55,'Summary Dept Wise'!$F50)</f>
        <v>0</v>
      </c>
      <c r="W50" s="214">
        <f>SUMIFS(Master!AR$8:AR$55,Master!$J$8:$J$55,'Summary Dept Wise'!$C50,Master!$M$8:$M$55,'Summary Dept Wise'!$E50,Master!$N$8:$N$55,'Summary Dept Wise'!$F50)</f>
        <v>0</v>
      </c>
      <c r="X50" s="215">
        <f t="shared" si="24"/>
        <v>0</v>
      </c>
      <c r="Y50" s="214">
        <f>SUMIFS(Master!AT$8:AT$55,Master!$J$8:$J$55,'Summary Dept Wise'!$C50,Master!$M$8:$M$55,'Summary Dept Wise'!$E50,Master!$N$8:$N$55,'Summary Dept Wise'!$F50)</f>
        <v>0</v>
      </c>
      <c r="Z50" s="216">
        <f t="shared" si="25"/>
        <v>0</v>
      </c>
      <c r="AA50" s="273">
        <f>SUMIFS(Master!AI$8:AI$55,Master!$J$8:$J$55,'Summary Dept Wise'!$C50,Master!$M$8:$M$55,'Summary Dept Wise'!$E50,Master!$N$8:$N$55,'Summary Dept Wise'!$F50,Master!$AV$8:$AV$55,"Paid")</f>
        <v>0</v>
      </c>
      <c r="AB50" s="273">
        <f>+Z50-AA50</f>
        <v>0</v>
      </c>
      <c r="AC50" s="273">
        <f>SUMIFS(Master!BF$8:BF$55,Master!$J$8:$J$55,'Summary Dept Wise'!$C50,Master!$M$8:$M$55,'Summary Dept Wise'!$E50,Master!$N$8:$N$55,'Summary Dept Wise'!$F50)</f>
        <v>0</v>
      </c>
    </row>
    <row r="51" spans="2:29" ht="13.8" x14ac:dyDescent="0.25">
      <c r="B51" s="238"/>
      <c r="C51" s="239"/>
      <c r="D51" s="240">
        <f>SUBTOTAL(9,D49:D50)</f>
        <v>2</v>
      </c>
      <c r="E51" s="241"/>
      <c r="F51" s="463">
        <f>G51/$G$69</f>
        <v>4.0473225404732256E-2</v>
      </c>
      <c r="G51" s="242">
        <f>SUBTOTAL(9,G49:G50)</f>
        <v>130000</v>
      </c>
      <c r="H51" s="242">
        <f t="shared" ref="H51:AC51" si="26">SUBTOTAL(9,H49:H50)</f>
        <v>130000</v>
      </c>
      <c r="I51" s="242">
        <f t="shared" si="26"/>
        <v>0</v>
      </c>
      <c r="J51" s="242">
        <f t="shared" si="26"/>
        <v>0</v>
      </c>
      <c r="K51" s="242">
        <f t="shared" si="26"/>
        <v>0</v>
      </c>
      <c r="L51" s="242">
        <f t="shared" si="26"/>
        <v>0</v>
      </c>
      <c r="M51" s="230">
        <f t="shared" si="26"/>
        <v>130000</v>
      </c>
      <c r="N51" s="242">
        <f t="shared" si="26"/>
        <v>1790.25</v>
      </c>
      <c r="O51" s="242">
        <f t="shared" si="26"/>
        <v>0</v>
      </c>
      <c r="P51" s="242">
        <f t="shared" si="26"/>
        <v>0</v>
      </c>
      <c r="Q51" s="242">
        <f t="shared" si="26"/>
        <v>0</v>
      </c>
      <c r="R51" s="230">
        <f t="shared" si="26"/>
        <v>128209.75</v>
      </c>
      <c r="S51" s="243">
        <f t="shared" si="26"/>
        <v>128209.75</v>
      </c>
      <c r="T51" s="242">
        <f t="shared" si="26"/>
        <v>0</v>
      </c>
      <c r="U51" s="242">
        <f t="shared" si="26"/>
        <v>0</v>
      </c>
      <c r="V51" s="243">
        <f t="shared" si="26"/>
        <v>0</v>
      </c>
      <c r="W51" s="242">
        <f t="shared" si="26"/>
        <v>0</v>
      </c>
      <c r="X51" s="230">
        <f t="shared" si="26"/>
        <v>128209.75</v>
      </c>
      <c r="Y51" s="242">
        <f t="shared" si="26"/>
        <v>0</v>
      </c>
      <c r="Z51" s="244">
        <f t="shared" si="26"/>
        <v>128209.75</v>
      </c>
      <c r="AA51" s="244">
        <f t="shared" si="26"/>
        <v>0</v>
      </c>
      <c r="AB51" s="244">
        <f t="shared" si="26"/>
        <v>128209.75</v>
      </c>
      <c r="AC51" s="244">
        <f t="shared" si="26"/>
        <v>0</v>
      </c>
    </row>
    <row r="52" spans="2:29" ht="13.8" x14ac:dyDescent="0.25">
      <c r="B52" s="212"/>
      <c r="C52" s="37"/>
      <c r="D52" s="209"/>
      <c r="E52" s="213"/>
      <c r="F52" s="213"/>
      <c r="G52" s="214"/>
      <c r="H52" s="214"/>
      <c r="I52" s="214"/>
      <c r="J52" s="214"/>
      <c r="K52" s="214"/>
      <c r="L52" s="214"/>
      <c r="M52" s="215"/>
      <c r="N52" s="214"/>
      <c r="O52" s="214"/>
      <c r="P52" s="214"/>
      <c r="Q52" s="214"/>
      <c r="R52" s="215"/>
      <c r="S52" s="37"/>
      <c r="T52" s="37"/>
      <c r="U52" s="37"/>
      <c r="V52" s="37"/>
      <c r="W52" s="37"/>
      <c r="X52" s="215"/>
      <c r="Y52" s="37"/>
      <c r="Z52" s="211"/>
      <c r="AA52" s="272"/>
      <c r="AB52" s="272"/>
      <c r="AC52" s="272"/>
    </row>
    <row r="53" spans="2:29" ht="13.8" x14ac:dyDescent="0.25">
      <c r="B53" s="249" t="s">
        <v>99</v>
      </c>
      <c r="C53" s="37"/>
      <c r="D53" s="209"/>
      <c r="E53" s="213"/>
      <c r="F53" s="213"/>
      <c r="G53" s="214"/>
      <c r="H53" s="214"/>
      <c r="I53" s="214"/>
      <c r="J53" s="214"/>
      <c r="K53" s="214"/>
      <c r="L53" s="214"/>
      <c r="M53" s="215"/>
      <c r="N53" s="214"/>
      <c r="O53" s="214"/>
      <c r="P53" s="214"/>
      <c r="Q53" s="214"/>
      <c r="R53" s="215"/>
      <c r="S53" s="37"/>
      <c r="T53" s="37"/>
      <c r="U53" s="37"/>
      <c r="V53" s="37"/>
      <c r="W53" s="37"/>
      <c r="X53" s="215"/>
      <c r="Y53" s="37"/>
      <c r="Z53" s="211"/>
      <c r="AA53" s="272"/>
      <c r="AB53" s="272"/>
      <c r="AC53" s="272"/>
    </row>
    <row r="54" spans="2:29" ht="13.8" x14ac:dyDescent="0.25">
      <c r="B54" s="212"/>
      <c r="C54" s="37" t="s">
        <v>32</v>
      </c>
      <c r="D54" s="209">
        <f>COUNTIFS(Master!$J$8:$J$55,'Summary Dept Wise'!$C54,Master!$M$8:$M$55,'Summary Dept Wise'!$E54,Master!$N$8:$N$55,'Summary Dept Wise'!$F54)</f>
        <v>4</v>
      </c>
      <c r="E54" s="213" t="s">
        <v>57</v>
      </c>
      <c r="F54" s="213" t="s">
        <v>35</v>
      </c>
      <c r="G54" s="214">
        <f>SUMIFS(Master!$P$8:$P$55,Master!$J$8:$J$55,'Summary Dept Wise'!$C54,Master!$M$8:$M$55,'Summary Dept Wise'!$E54,Master!$N$8:$N$55,'Summary Dept Wise'!$F54)</f>
        <v>335000</v>
      </c>
      <c r="H54" s="214">
        <f>SUMIFS(Master!$U$8:$U$55,Master!$J$8:$J$55,'Summary Dept Wise'!$C54,Master!$M$8:$M$55,'Summary Dept Wise'!$E54,Master!$N$8:$N$55,'Summary Dept Wise'!$F54)</f>
        <v>335000</v>
      </c>
      <c r="I54" s="214">
        <f>SUMIFS(Master!$V$8:$V$55,Master!$J$8:$J$55,'Summary Dept Wise'!$C54,Master!$M$8:$M$55,'Summary Dept Wise'!$E54,Master!$N$8:$N$55,'Summary Dept Wise'!$F54)</f>
        <v>0</v>
      </c>
      <c r="J54" s="214">
        <f>SUMIFS(Master!$X$8:$X$55,Master!$J$8:$J$55,'Summary Dept Wise'!$C54,Master!$M$8:$M$55,'Summary Dept Wise'!$E54,Master!$N$8:$N$55,'Summary Dept Wise'!$F54)</f>
        <v>0</v>
      </c>
      <c r="K54" s="214">
        <f>SUMIFS(Master!$Z$8:$Z$55,Master!$J$8:$J$55,'Summary Dept Wise'!$C54,Master!$M$8:$M$55,'Summary Dept Wise'!$E54,Master!$N$8:$N$55,'Summary Dept Wise'!$F54)</f>
        <v>4047.6190476190477</v>
      </c>
      <c r="L54" s="214">
        <f>SUMIFS(Master!AC$8:AC$55,Master!$J$8:$J$55,'Summary Dept Wise'!$C54,Master!$M$8:$M$55,'Summary Dept Wise'!$E54,Master!$N$8:$N$55,'Summary Dept Wise'!$F54)</f>
        <v>0</v>
      </c>
      <c r="M54" s="215">
        <f>SUMIFS(Master!AD$8:AD$55,Master!$J$8:$J$55,'Summary Dept Wise'!$C54,Master!$M$8:$M$55,'Summary Dept Wise'!$E54,Master!$N$8:$N$55,'Summary Dept Wise'!$F54)</f>
        <v>330952.38095238095</v>
      </c>
      <c r="N54" s="214">
        <f>SUMIFS(Master!AE$8:AE$55,Master!$J$8:$J$55,'Summary Dept Wise'!$C54,Master!$M$8:$M$55,'Summary Dept Wise'!$E54,Master!$N$8:$N$55,'Summary Dept Wise'!$F54)</f>
        <v>9661.6</v>
      </c>
      <c r="O54" s="214">
        <f>SUMIFS(Master!AF$8:AF$55,Master!$J$8:$J$55,'Summary Dept Wise'!$C54,Master!$M$8:$M$55,'Summary Dept Wise'!$E54,Master!$N$8:$N$55,'Summary Dept Wise'!$F54)</f>
        <v>250</v>
      </c>
      <c r="P54" s="214">
        <f>SUMIFS(Master!AG$8:AG$55,Master!$J$8:$J$55,'Summary Dept Wise'!$C54,Master!$M$8:$M$55,'Summary Dept Wise'!$E54,Master!$N$8:$N$55,'Summary Dept Wise'!$F54)</f>
        <v>0</v>
      </c>
      <c r="Q54" s="214">
        <f>SUMIFS(Master!AH$8:AH$55,Master!$J$8:$J$55,'Summary Dept Wise'!$C54,Master!$M$8:$M$55,'Summary Dept Wise'!$E54,Master!$N$8:$N$55,'Summary Dept Wise'!$F54)</f>
        <v>0</v>
      </c>
      <c r="R54" s="215">
        <f>SUMIFS(Master!AI$8:AI$55,Master!$J$8:$J$55,'Summary Dept Wise'!$C54,Master!$M$8:$M$55,'Summary Dept Wise'!$E54,Master!$N$8:$N$55,'Summary Dept Wise'!$F54)</f>
        <v>321040.78095238097</v>
      </c>
      <c r="S54" s="214">
        <f>SUMIFS(Master!AN$8:AN$55,Master!$J$8:$J$55,'Summary Dept Wise'!$C54,Master!$M$8:$M$55,'Summary Dept Wise'!$E54,Master!$N$8:$N$55,'Summary Dept Wise'!$F54)</f>
        <v>240088.4</v>
      </c>
      <c r="T54" s="214">
        <f>SUMIFS(Master!AO$8:AO$55,Master!$J$8:$J$55,'Summary Dept Wise'!$C54,Master!$M$8:$M$55,'Summary Dept Wise'!$E54,Master!$N$8:$N$55,'Summary Dept Wise'!$F54)</f>
        <v>0</v>
      </c>
      <c r="U54" s="214">
        <f>SUMIFS(Master!AP$8:AP$55,Master!$J$8:$J$55,'Summary Dept Wise'!$C54,Master!$M$8:$M$55,'Summary Dept Wise'!$E54,Master!$N$8:$N$55,'Summary Dept Wise'!$F54)</f>
        <v>0</v>
      </c>
      <c r="V54" s="214">
        <f>SUMIFS(Master!AQ$8:AQ$55,Master!$J$8:$J$55,'Summary Dept Wise'!$C54,Master!$M$8:$M$55,'Summary Dept Wise'!$E54,Master!$N$8:$N$55,'Summary Dept Wise'!$F54)</f>
        <v>80952.380952380947</v>
      </c>
      <c r="W54" s="214">
        <f>SUMIFS(Master!AR$8:AR$55,Master!$J$8:$J$55,'Summary Dept Wise'!$C54,Master!$M$8:$M$55,'Summary Dept Wise'!$E54,Master!$N$8:$N$55,'Summary Dept Wise'!$F54)</f>
        <v>0</v>
      </c>
      <c r="X54" s="215">
        <f t="shared" ref="X54:X58" si="27">SUM(S54:W54)</f>
        <v>321040.78095238097</v>
      </c>
      <c r="Y54" s="214">
        <f>SUMIFS(Master!AT$8:AT$55,Master!$J$8:$J$55,'Summary Dept Wise'!$C54,Master!$M$8:$M$55,'Summary Dept Wise'!$E54,Master!$N$8:$N$55,'Summary Dept Wise'!$F54)</f>
        <v>0</v>
      </c>
      <c r="Z54" s="216">
        <f t="shared" ref="Z54:Z58" si="28">SUM(X54:Y54)</f>
        <v>321040.78095238097</v>
      </c>
      <c r="AA54" s="273">
        <f>SUMIFS(Master!AI$8:AI$55,Master!$J$8:$J$55,'Summary Dept Wise'!$C54,Master!$M$8:$M$55,'Summary Dept Wise'!$E54,Master!$N$8:$N$55,'Summary Dept Wise'!$F54,Master!$AV$8:$AV$55,"Paid")</f>
        <v>0</v>
      </c>
      <c r="AB54" s="273">
        <f>+Z54-AA54</f>
        <v>321040.78095238097</v>
      </c>
      <c r="AC54" s="273">
        <f>SUMIFS(Master!BF$8:BF$55,Master!$J$8:$J$55,'Summary Dept Wise'!$C54,Master!$M$8:$M$55,'Summary Dept Wise'!$E54,Master!$N$8:$N$55,'Summary Dept Wise'!$F54)</f>
        <v>0</v>
      </c>
    </row>
    <row r="55" spans="2:29" ht="13.8" x14ac:dyDescent="0.25">
      <c r="B55" s="212"/>
      <c r="C55" s="37" t="s">
        <v>56</v>
      </c>
      <c r="D55" s="209">
        <f>COUNTIFS(Master!$J$8:$J$55,'Summary Dept Wise'!$C55,Master!$M$8:$M$55,'Summary Dept Wise'!$E55,Master!$N$8:$N$55,'Summary Dept Wise'!$F55)</f>
        <v>2</v>
      </c>
      <c r="E55" s="213" t="s">
        <v>57</v>
      </c>
      <c r="F55" s="213" t="s">
        <v>35</v>
      </c>
      <c r="G55" s="214">
        <f>SUMIFS(Master!$P$8:$P$55,Master!$J$8:$J$55,'Summary Dept Wise'!$C55,Master!$M$8:$M$55,'Summary Dept Wise'!$E55,Master!$N$8:$N$55,'Summary Dept Wise'!$F55)</f>
        <v>160000</v>
      </c>
      <c r="H55" s="214">
        <f>SUMIFS(Master!$U$8:$U$55,Master!$J$8:$J$55,'Summary Dept Wise'!$C55,Master!$M$8:$M$55,'Summary Dept Wise'!$E55,Master!$N$8:$N$55,'Summary Dept Wise'!$F55)</f>
        <v>160000</v>
      </c>
      <c r="I55" s="214">
        <f>SUMIFS(Master!$V$8:$V$55,Master!$J$8:$J$55,'Summary Dept Wise'!$C55,Master!$M$8:$M$55,'Summary Dept Wise'!$E55,Master!$N$8:$N$55,'Summary Dept Wise'!$F55)</f>
        <v>0</v>
      </c>
      <c r="J55" s="214">
        <f>SUMIFS(Master!$X$8:$X$55,Master!$J$8:$J$55,'Summary Dept Wise'!$C55,Master!$M$8:$M$55,'Summary Dept Wise'!$E55,Master!$N$8:$N$55,'Summary Dept Wise'!$F55)</f>
        <v>0</v>
      </c>
      <c r="K55" s="214">
        <f>SUMIFS(Master!$Z$8:$Z$55,Master!$J$8:$J$55,'Summary Dept Wise'!$C55,Master!$M$8:$M$55,'Summary Dept Wise'!$E55,Master!$N$8:$N$55,'Summary Dept Wise'!$F55)</f>
        <v>0</v>
      </c>
      <c r="L55" s="214">
        <f>SUMIFS(Master!AC$8:AC$55,Master!$J$8:$J$55,'Summary Dept Wise'!$C55,Master!$M$8:$M$55,'Summary Dept Wise'!$E55,Master!$N$8:$N$55,'Summary Dept Wise'!$F55)</f>
        <v>0</v>
      </c>
      <c r="M55" s="215">
        <f>SUMIFS(Master!AD$8:AD$55,Master!$J$8:$J$55,'Summary Dept Wise'!$C55,Master!$M$8:$M$55,'Summary Dept Wise'!$E55,Master!$N$8:$N$55,'Summary Dept Wise'!$F55)</f>
        <v>160000</v>
      </c>
      <c r="N55" s="214">
        <f>SUMIFS(Master!AE$8:AE$55,Master!$J$8:$J$55,'Summary Dept Wise'!$C55,Master!$M$8:$M$55,'Summary Dept Wise'!$E55,Master!$N$8:$N$55,'Summary Dept Wise'!$F55)</f>
        <v>1134.25</v>
      </c>
      <c r="O55" s="214">
        <f>SUMIFS(Master!AF$8:AF$55,Master!$J$8:$J$55,'Summary Dept Wise'!$C55,Master!$M$8:$M$55,'Summary Dept Wise'!$E55,Master!$N$8:$N$55,'Summary Dept Wise'!$F55)</f>
        <v>0</v>
      </c>
      <c r="P55" s="214">
        <f>SUMIFS(Master!AG$8:AG$55,Master!$J$8:$J$55,'Summary Dept Wise'!$C55,Master!$M$8:$M$55,'Summary Dept Wise'!$E55,Master!$N$8:$N$55,'Summary Dept Wise'!$F55)</f>
        <v>0</v>
      </c>
      <c r="Q55" s="214">
        <f>SUMIFS(Master!AH$8:AH$55,Master!$J$8:$J$55,'Summary Dept Wise'!$C55,Master!$M$8:$M$55,'Summary Dept Wise'!$E55,Master!$N$8:$N$55,'Summary Dept Wise'!$F55)</f>
        <v>0</v>
      </c>
      <c r="R55" s="215">
        <f>SUMIFS(Master!AI$8:AI$55,Master!$J$8:$J$55,'Summary Dept Wise'!$C55,Master!$M$8:$M$55,'Summary Dept Wise'!$E55,Master!$N$8:$N$55,'Summary Dept Wise'!$F55)</f>
        <v>158865.75</v>
      </c>
      <c r="S55" s="214">
        <f>SUMIFS(Master!AN$8:AN$55,Master!$J$8:$J$55,'Summary Dept Wise'!$C55,Master!$M$8:$M$55,'Summary Dept Wise'!$E55,Master!$N$8:$N$55,'Summary Dept Wise'!$F55)</f>
        <v>158865.75</v>
      </c>
      <c r="T55" s="214">
        <f>SUMIFS(Master!AO$8:AO$55,Master!$J$8:$J$55,'Summary Dept Wise'!$C55,Master!$M$8:$M$55,'Summary Dept Wise'!$E55,Master!$N$8:$N$55,'Summary Dept Wise'!$F55)</f>
        <v>0</v>
      </c>
      <c r="U55" s="214">
        <f>SUMIFS(Master!AP$8:AP$55,Master!$J$8:$J$55,'Summary Dept Wise'!$C55,Master!$M$8:$M$55,'Summary Dept Wise'!$E55,Master!$N$8:$N$55,'Summary Dept Wise'!$F55)</f>
        <v>0</v>
      </c>
      <c r="V55" s="214">
        <f>SUMIFS(Master!AQ$8:AQ$55,Master!$J$8:$J$55,'Summary Dept Wise'!$C55,Master!$M$8:$M$55,'Summary Dept Wise'!$E55,Master!$N$8:$N$55,'Summary Dept Wise'!$F55)</f>
        <v>0</v>
      </c>
      <c r="W55" s="214">
        <f>SUMIFS(Master!AR$8:AR$55,Master!$J$8:$J$55,'Summary Dept Wise'!$C55,Master!$M$8:$M$55,'Summary Dept Wise'!$E55,Master!$N$8:$N$55,'Summary Dept Wise'!$F55)</f>
        <v>0</v>
      </c>
      <c r="X55" s="215">
        <f t="shared" si="27"/>
        <v>158865.75</v>
      </c>
      <c r="Y55" s="214">
        <f>SUMIFS(Master!AT$8:AT$55,Master!$J$8:$J$55,'Summary Dept Wise'!$C55,Master!$M$8:$M$55,'Summary Dept Wise'!$E55,Master!$N$8:$N$55,'Summary Dept Wise'!$F55)</f>
        <v>0</v>
      </c>
      <c r="Z55" s="216">
        <f t="shared" si="28"/>
        <v>158865.75</v>
      </c>
      <c r="AA55" s="273">
        <f>SUMIFS(Master!AI$8:AI$55,Master!$J$8:$J$55,'Summary Dept Wise'!$C55,Master!$M$8:$M$55,'Summary Dept Wise'!$E55,Master!$N$8:$N$55,'Summary Dept Wise'!$F55,Master!$AV$8:$AV$55,"Paid")</f>
        <v>0</v>
      </c>
      <c r="AB55" s="273">
        <f>+Z55-AA55</f>
        <v>158865.75</v>
      </c>
      <c r="AC55" s="273">
        <f>SUMIFS(Master!BF$8:BF$55,Master!$J$8:$J$55,'Summary Dept Wise'!$C55,Master!$M$8:$M$55,'Summary Dept Wise'!$E55,Master!$N$8:$N$55,'Summary Dept Wise'!$F55)</f>
        <v>0</v>
      </c>
    </row>
    <row r="56" spans="2:29" ht="13.8" hidden="1" x14ac:dyDescent="0.25">
      <c r="B56" s="212"/>
      <c r="C56" s="37" t="s">
        <v>64</v>
      </c>
      <c r="D56" s="209">
        <f>COUNTIFS(Master!$J$8:$J$55,'Summary Dept Wise'!$C56,Master!$M$8:$M$55,'Summary Dept Wise'!$E56,Master!$N$8:$N$55,'Summary Dept Wise'!$F56)</f>
        <v>0</v>
      </c>
      <c r="E56" s="213" t="s">
        <v>57</v>
      </c>
      <c r="F56" s="213" t="s">
        <v>35</v>
      </c>
      <c r="G56" s="214">
        <f>SUMIFS(Master!$P$8:$P$55,Master!$J$8:$J$55,'Summary Dept Wise'!$C56,Master!$M$8:$M$55,'Summary Dept Wise'!$E56,Master!$N$8:$N$55,'Summary Dept Wise'!$F56)</f>
        <v>0</v>
      </c>
      <c r="H56" s="214">
        <f>SUMIFS(Master!$U$8:$U$55,Master!$J$8:$J$55,'Summary Dept Wise'!$C56,Master!$M$8:$M$55,'Summary Dept Wise'!$E56,Master!$N$8:$N$55,'Summary Dept Wise'!$F56)</f>
        <v>0</v>
      </c>
      <c r="I56" s="214">
        <f>SUMIFS(Master!$V$8:$V$55,Master!$J$8:$J$55,'Summary Dept Wise'!$C56,Master!$M$8:$M$55,'Summary Dept Wise'!$E56,Master!$N$8:$N$55,'Summary Dept Wise'!$F56)</f>
        <v>0</v>
      </c>
      <c r="J56" s="214">
        <f>SUMIFS(Master!$X$8:$X$55,Master!$J$8:$J$55,'Summary Dept Wise'!$C56,Master!$M$8:$M$55,'Summary Dept Wise'!$E56,Master!$N$8:$N$55,'Summary Dept Wise'!$F56)</f>
        <v>0</v>
      </c>
      <c r="K56" s="214">
        <f>SUMIFS(Master!$Z$8:$Z$55,Master!$J$8:$J$55,'Summary Dept Wise'!$C56,Master!$M$8:$M$55,'Summary Dept Wise'!$E56,Master!$N$8:$N$55,'Summary Dept Wise'!$F56)</f>
        <v>0</v>
      </c>
      <c r="L56" s="214">
        <f>SUMIFS(Master!AC$8:AC$55,Master!$J$8:$J$55,'Summary Dept Wise'!$C56,Master!$M$8:$M$55,'Summary Dept Wise'!$E56,Master!$N$8:$N$55,'Summary Dept Wise'!$F56)</f>
        <v>0</v>
      </c>
      <c r="M56" s="215">
        <f>SUMIFS(Master!AD$8:AD$55,Master!$J$8:$J$55,'Summary Dept Wise'!$C56,Master!$M$8:$M$55,'Summary Dept Wise'!$E56,Master!$N$8:$N$55,'Summary Dept Wise'!$F56)</f>
        <v>0</v>
      </c>
      <c r="N56" s="214">
        <f>SUMIFS(Master!AE$8:AE$55,Master!$J$8:$J$55,'Summary Dept Wise'!$C56,Master!$M$8:$M$55,'Summary Dept Wise'!$E56,Master!$N$8:$N$55,'Summary Dept Wise'!$F56)</f>
        <v>0</v>
      </c>
      <c r="O56" s="214">
        <f>SUMIFS(Master!AF$8:AF$55,Master!$J$8:$J$55,'Summary Dept Wise'!$C56,Master!$M$8:$M$55,'Summary Dept Wise'!$E56,Master!$N$8:$N$55,'Summary Dept Wise'!$F56)</f>
        <v>0</v>
      </c>
      <c r="P56" s="214">
        <f>SUMIFS(Master!AG$8:AG$55,Master!$J$8:$J$55,'Summary Dept Wise'!$C56,Master!$M$8:$M$55,'Summary Dept Wise'!$E56,Master!$N$8:$N$55,'Summary Dept Wise'!$F56)</f>
        <v>0</v>
      </c>
      <c r="Q56" s="214">
        <f>SUMIFS(Master!AH$8:AH$55,Master!$J$8:$J$55,'Summary Dept Wise'!$C56,Master!$M$8:$M$55,'Summary Dept Wise'!$E56,Master!$N$8:$N$55,'Summary Dept Wise'!$F56)</f>
        <v>0</v>
      </c>
      <c r="R56" s="215">
        <f>SUMIFS(Master!AI$8:AI$55,Master!$J$8:$J$55,'Summary Dept Wise'!$C56,Master!$M$8:$M$55,'Summary Dept Wise'!$E56,Master!$N$8:$N$55,'Summary Dept Wise'!$F56)</f>
        <v>0</v>
      </c>
      <c r="S56" s="214">
        <f>SUMIFS(Master!AN$8:AN$55,Master!$J$8:$J$55,'Summary Dept Wise'!$C56,Master!$M$8:$M$55,'Summary Dept Wise'!$E56,Master!$N$8:$N$55,'Summary Dept Wise'!$F56)</f>
        <v>0</v>
      </c>
      <c r="T56" s="214">
        <f>SUMIFS(Master!AO$8:AO$55,Master!$J$8:$J$55,'Summary Dept Wise'!$C56,Master!$M$8:$M$55,'Summary Dept Wise'!$E56,Master!$N$8:$N$55,'Summary Dept Wise'!$F56)</f>
        <v>0</v>
      </c>
      <c r="U56" s="214">
        <f>SUMIFS(Master!AP$8:AP$55,Master!$J$8:$J$55,'Summary Dept Wise'!$C56,Master!$M$8:$M$55,'Summary Dept Wise'!$E56,Master!$N$8:$N$55,'Summary Dept Wise'!$F56)</f>
        <v>0</v>
      </c>
      <c r="V56" s="214">
        <f>SUMIFS(Master!AQ$8:AQ$55,Master!$J$8:$J$55,'Summary Dept Wise'!$C56,Master!$M$8:$M$55,'Summary Dept Wise'!$E56,Master!$N$8:$N$55,'Summary Dept Wise'!$F56)</f>
        <v>0</v>
      </c>
      <c r="W56" s="214">
        <f>SUMIFS(Master!AR$8:AR$55,Master!$J$8:$J$55,'Summary Dept Wise'!$C56,Master!$M$8:$M$55,'Summary Dept Wise'!$E56,Master!$N$8:$N$55,'Summary Dept Wise'!$F56)</f>
        <v>0</v>
      </c>
      <c r="X56" s="215">
        <f t="shared" si="27"/>
        <v>0</v>
      </c>
      <c r="Y56" s="214">
        <f>SUMIFS(Master!AT$8:AT$55,Master!$J$8:$J$55,'Summary Dept Wise'!$C56,Master!$M$8:$M$55,'Summary Dept Wise'!$E56,Master!$N$8:$N$55,'Summary Dept Wise'!$F56)</f>
        <v>0</v>
      </c>
      <c r="Z56" s="216">
        <f t="shared" si="28"/>
        <v>0</v>
      </c>
      <c r="AA56" s="273">
        <f>SUMIFS(Master!AI$8:AI$55,Master!$J$8:$J$55,'Summary Dept Wise'!$C56,Master!$M$8:$M$55,'Summary Dept Wise'!$E56,Master!$N$8:$N$55,'Summary Dept Wise'!$F56,Master!$AV$8:$AV$55,"Paid")</f>
        <v>0</v>
      </c>
      <c r="AB56" s="273">
        <f>+Z56-AA56</f>
        <v>0</v>
      </c>
      <c r="AC56" s="273">
        <f>SUMIFS(Master!BF$8:BF$55,Master!$J$8:$J$55,'Summary Dept Wise'!$C56,Master!$M$8:$M$55,'Summary Dept Wise'!$E56,Master!$N$8:$N$55,'Summary Dept Wise'!$F56)</f>
        <v>0</v>
      </c>
    </row>
    <row r="57" spans="2:29" ht="13.8" hidden="1" x14ac:dyDescent="0.25">
      <c r="B57" s="212"/>
      <c r="C57" s="37" t="s">
        <v>40</v>
      </c>
      <c r="D57" s="209">
        <f>COUNTIFS(Master!$J$8:$J$55,'Summary Dept Wise'!$C57,Master!$M$8:$M$55,'Summary Dept Wise'!$E57,Master!$N$8:$N$55,'Summary Dept Wise'!$F57)</f>
        <v>0</v>
      </c>
      <c r="E57" s="213" t="s">
        <v>57</v>
      </c>
      <c r="F57" s="213" t="s">
        <v>35</v>
      </c>
      <c r="G57" s="214">
        <f>SUMIFS(Master!$P$8:$P$55,Master!$J$8:$J$55,'Summary Dept Wise'!$C57,Master!$M$8:$M$55,'Summary Dept Wise'!$E57,Master!$N$8:$N$55,'Summary Dept Wise'!$F57)</f>
        <v>0</v>
      </c>
      <c r="H57" s="214">
        <f>SUMIFS(Master!$U$8:$U$55,Master!$J$8:$J$55,'Summary Dept Wise'!$C57,Master!$M$8:$M$55,'Summary Dept Wise'!$E57,Master!$N$8:$N$55,'Summary Dept Wise'!$F57)</f>
        <v>0</v>
      </c>
      <c r="I57" s="214">
        <f>SUMIFS(Master!$V$8:$V$55,Master!$J$8:$J$55,'Summary Dept Wise'!$C57,Master!$M$8:$M$55,'Summary Dept Wise'!$E57,Master!$N$8:$N$55,'Summary Dept Wise'!$F57)</f>
        <v>0</v>
      </c>
      <c r="J57" s="214">
        <f>SUMIFS(Master!$X$8:$X$55,Master!$J$8:$J$55,'Summary Dept Wise'!$C57,Master!$M$8:$M$55,'Summary Dept Wise'!$E57,Master!$N$8:$N$55,'Summary Dept Wise'!$F57)</f>
        <v>0</v>
      </c>
      <c r="K57" s="214">
        <f>SUMIFS(Master!$Z$8:$Z$55,Master!$J$8:$J$55,'Summary Dept Wise'!$C57,Master!$M$8:$M$55,'Summary Dept Wise'!$E57,Master!$N$8:$N$55,'Summary Dept Wise'!$F57)</f>
        <v>0</v>
      </c>
      <c r="L57" s="214">
        <f>SUMIFS(Master!AC$8:AC$55,Master!$J$8:$J$55,'Summary Dept Wise'!$C57,Master!$M$8:$M$55,'Summary Dept Wise'!$E57,Master!$N$8:$N$55,'Summary Dept Wise'!$F57)</f>
        <v>0</v>
      </c>
      <c r="M57" s="215">
        <f>SUMIFS(Master!AD$8:AD$55,Master!$J$8:$J$55,'Summary Dept Wise'!$C57,Master!$M$8:$M$55,'Summary Dept Wise'!$E57,Master!$N$8:$N$55,'Summary Dept Wise'!$F57)</f>
        <v>0</v>
      </c>
      <c r="N57" s="214">
        <f>SUMIFS(Master!AE$8:AE$55,Master!$J$8:$J$55,'Summary Dept Wise'!$C57,Master!$M$8:$M$55,'Summary Dept Wise'!$E57,Master!$N$8:$N$55,'Summary Dept Wise'!$F57)</f>
        <v>0</v>
      </c>
      <c r="O57" s="214">
        <f>SUMIFS(Master!AF$8:AF$55,Master!$J$8:$J$55,'Summary Dept Wise'!$C57,Master!$M$8:$M$55,'Summary Dept Wise'!$E57,Master!$N$8:$N$55,'Summary Dept Wise'!$F57)</f>
        <v>0</v>
      </c>
      <c r="P57" s="214">
        <f>SUMIFS(Master!AG$8:AG$55,Master!$J$8:$J$55,'Summary Dept Wise'!$C57,Master!$M$8:$M$55,'Summary Dept Wise'!$E57,Master!$N$8:$N$55,'Summary Dept Wise'!$F57)</f>
        <v>0</v>
      </c>
      <c r="Q57" s="214">
        <f>SUMIFS(Master!AH$8:AH$55,Master!$J$8:$J$55,'Summary Dept Wise'!$C57,Master!$M$8:$M$55,'Summary Dept Wise'!$E57,Master!$N$8:$N$55,'Summary Dept Wise'!$F57)</f>
        <v>0</v>
      </c>
      <c r="R57" s="215">
        <f>SUMIFS(Master!AI$8:AI$55,Master!$J$8:$J$55,'Summary Dept Wise'!$C57,Master!$M$8:$M$55,'Summary Dept Wise'!$E57,Master!$N$8:$N$55,'Summary Dept Wise'!$F57)</f>
        <v>0</v>
      </c>
      <c r="S57" s="214">
        <f>SUMIFS(Master!AN$8:AN$55,Master!$J$8:$J$55,'Summary Dept Wise'!$C57,Master!$M$8:$M$55,'Summary Dept Wise'!$E57,Master!$N$8:$N$55,'Summary Dept Wise'!$F57)</f>
        <v>0</v>
      </c>
      <c r="T57" s="214">
        <f>SUMIFS(Master!AO$8:AO$55,Master!$J$8:$J$55,'Summary Dept Wise'!$C57,Master!$M$8:$M$55,'Summary Dept Wise'!$E57,Master!$N$8:$N$55,'Summary Dept Wise'!$F57)</f>
        <v>0</v>
      </c>
      <c r="U57" s="214">
        <f>SUMIFS(Master!AP$8:AP$55,Master!$J$8:$J$55,'Summary Dept Wise'!$C57,Master!$M$8:$M$55,'Summary Dept Wise'!$E57,Master!$N$8:$N$55,'Summary Dept Wise'!$F57)</f>
        <v>0</v>
      </c>
      <c r="V57" s="214">
        <f>SUMIFS(Master!AQ$8:AQ$55,Master!$J$8:$J$55,'Summary Dept Wise'!$C57,Master!$M$8:$M$55,'Summary Dept Wise'!$E57,Master!$N$8:$N$55,'Summary Dept Wise'!$F57)</f>
        <v>0</v>
      </c>
      <c r="W57" s="214">
        <f>SUMIFS(Master!AR$8:AR$55,Master!$J$8:$J$55,'Summary Dept Wise'!$C57,Master!$M$8:$M$55,'Summary Dept Wise'!$E57,Master!$N$8:$N$55,'Summary Dept Wise'!$F57)</f>
        <v>0</v>
      </c>
      <c r="X57" s="215">
        <f t="shared" si="27"/>
        <v>0</v>
      </c>
      <c r="Y57" s="214">
        <f>SUMIFS(Master!AT$8:AT$55,Master!$J$8:$J$55,'Summary Dept Wise'!$C57,Master!$M$8:$M$55,'Summary Dept Wise'!$E57,Master!$N$8:$N$55,'Summary Dept Wise'!$F57)</f>
        <v>0</v>
      </c>
      <c r="Z57" s="216">
        <f t="shared" si="28"/>
        <v>0</v>
      </c>
      <c r="AA57" s="273">
        <f>SUMIFS(Master!AI$8:AI$55,Master!$J$8:$J$55,'Summary Dept Wise'!$C57,Master!$M$8:$M$55,'Summary Dept Wise'!$E57,Master!$N$8:$N$55,'Summary Dept Wise'!$F57,Master!$AV$8:$AV$55,"Paid")</f>
        <v>0</v>
      </c>
      <c r="AB57" s="273">
        <f>+Z57-AA57</f>
        <v>0</v>
      </c>
      <c r="AC57" s="273">
        <f>SUMIFS(Master!BF$8:BF$55,Master!$J$8:$J$55,'Summary Dept Wise'!$C57,Master!$M$8:$M$55,'Summary Dept Wise'!$E57,Master!$N$8:$N$55,'Summary Dept Wise'!$F57)</f>
        <v>0</v>
      </c>
    </row>
    <row r="58" spans="2:29" ht="13.8" hidden="1" x14ac:dyDescent="0.25">
      <c r="B58" s="212"/>
      <c r="C58" s="37" t="s">
        <v>63</v>
      </c>
      <c r="D58" s="209">
        <f>COUNTIFS(Master!$J$8:$J$55,'Summary Dept Wise'!$C58,Master!$M$8:$M$55,'Summary Dept Wise'!$E58,Master!$N$8:$N$55,'Summary Dept Wise'!$F58)</f>
        <v>0</v>
      </c>
      <c r="E58" s="213" t="s">
        <v>57</v>
      </c>
      <c r="F58" s="213" t="s">
        <v>35</v>
      </c>
      <c r="G58" s="214">
        <f>SUMIFS(Master!$P$8:$P$55,Master!$J$8:$J$55,'Summary Dept Wise'!$C58,Master!$M$8:$M$55,'Summary Dept Wise'!$E58,Master!$N$8:$N$55,'Summary Dept Wise'!$F58)</f>
        <v>0</v>
      </c>
      <c r="H58" s="214">
        <f>SUMIFS(Master!$U$8:$U$55,Master!$J$8:$J$55,'Summary Dept Wise'!$C58,Master!$M$8:$M$55,'Summary Dept Wise'!$E58,Master!$N$8:$N$55,'Summary Dept Wise'!$F58)</f>
        <v>0</v>
      </c>
      <c r="I58" s="214">
        <f>SUMIFS(Master!$V$8:$V$55,Master!$J$8:$J$55,'Summary Dept Wise'!$C58,Master!$M$8:$M$55,'Summary Dept Wise'!$E58,Master!$N$8:$N$55,'Summary Dept Wise'!$F58)</f>
        <v>0</v>
      </c>
      <c r="J58" s="214">
        <f>SUMIFS(Master!$X$8:$X$55,Master!$J$8:$J$55,'Summary Dept Wise'!$C58,Master!$M$8:$M$55,'Summary Dept Wise'!$E58,Master!$N$8:$N$55,'Summary Dept Wise'!$F58)</f>
        <v>0</v>
      </c>
      <c r="K58" s="214">
        <f>SUMIFS(Master!$Z$8:$Z$55,Master!$J$8:$J$55,'Summary Dept Wise'!$C58,Master!$M$8:$M$55,'Summary Dept Wise'!$E58,Master!$N$8:$N$55,'Summary Dept Wise'!$F58)</f>
        <v>0</v>
      </c>
      <c r="L58" s="214">
        <f>SUMIFS(Master!AC$8:AC$55,Master!$J$8:$J$55,'Summary Dept Wise'!$C58,Master!$M$8:$M$55,'Summary Dept Wise'!$E58,Master!$N$8:$N$55,'Summary Dept Wise'!$F58)</f>
        <v>0</v>
      </c>
      <c r="M58" s="215">
        <f>SUMIFS(Master!AD$8:AD$55,Master!$J$8:$J$55,'Summary Dept Wise'!$C58,Master!$M$8:$M$55,'Summary Dept Wise'!$E58,Master!$N$8:$N$55,'Summary Dept Wise'!$F58)</f>
        <v>0</v>
      </c>
      <c r="N58" s="214">
        <f>SUMIFS(Master!AE$8:AE$55,Master!$J$8:$J$55,'Summary Dept Wise'!$C58,Master!$M$8:$M$55,'Summary Dept Wise'!$E58,Master!$N$8:$N$55,'Summary Dept Wise'!$F58)</f>
        <v>0</v>
      </c>
      <c r="O58" s="214">
        <f>SUMIFS(Master!AF$8:AF$55,Master!$J$8:$J$55,'Summary Dept Wise'!$C58,Master!$M$8:$M$55,'Summary Dept Wise'!$E58,Master!$N$8:$N$55,'Summary Dept Wise'!$F58)</f>
        <v>0</v>
      </c>
      <c r="P58" s="214">
        <f>SUMIFS(Master!AG$8:AG$55,Master!$J$8:$J$55,'Summary Dept Wise'!$C58,Master!$M$8:$M$55,'Summary Dept Wise'!$E58,Master!$N$8:$N$55,'Summary Dept Wise'!$F58)</f>
        <v>0</v>
      </c>
      <c r="Q58" s="214">
        <f>SUMIFS(Master!AH$8:AH$55,Master!$J$8:$J$55,'Summary Dept Wise'!$C58,Master!$M$8:$M$55,'Summary Dept Wise'!$E58,Master!$N$8:$N$55,'Summary Dept Wise'!$F58)</f>
        <v>0</v>
      </c>
      <c r="R58" s="215">
        <f>SUMIFS(Master!AI$8:AI$55,Master!$J$8:$J$55,'Summary Dept Wise'!$C58,Master!$M$8:$M$55,'Summary Dept Wise'!$E58,Master!$N$8:$N$55,'Summary Dept Wise'!$F58)</f>
        <v>0</v>
      </c>
      <c r="S58" s="214">
        <f>SUMIFS(Master!AN$8:AN$55,Master!$J$8:$J$55,'Summary Dept Wise'!$C58,Master!$M$8:$M$55,'Summary Dept Wise'!$E58,Master!$N$8:$N$55,'Summary Dept Wise'!$F58)</f>
        <v>0</v>
      </c>
      <c r="T58" s="214">
        <f>SUMIFS(Master!AO$8:AO$55,Master!$J$8:$J$55,'Summary Dept Wise'!$C58,Master!$M$8:$M$55,'Summary Dept Wise'!$E58,Master!$N$8:$N$55,'Summary Dept Wise'!$F58)</f>
        <v>0</v>
      </c>
      <c r="U58" s="214">
        <f>SUMIFS(Master!AP$8:AP$55,Master!$J$8:$J$55,'Summary Dept Wise'!$C58,Master!$M$8:$M$55,'Summary Dept Wise'!$E58,Master!$N$8:$N$55,'Summary Dept Wise'!$F58)</f>
        <v>0</v>
      </c>
      <c r="V58" s="214">
        <f>SUMIFS(Master!AQ$8:AQ$55,Master!$J$8:$J$55,'Summary Dept Wise'!$C58,Master!$M$8:$M$55,'Summary Dept Wise'!$E58,Master!$N$8:$N$55,'Summary Dept Wise'!$F58)</f>
        <v>0</v>
      </c>
      <c r="W58" s="214">
        <f>SUMIFS(Master!AR$8:AR$55,Master!$J$8:$J$55,'Summary Dept Wise'!$C58,Master!$M$8:$M$55,'Summary Dept Wise'!$E58,Master!$N$8:$N$55,'Summary Dept Wise'!$F58)</f>
        <v>0</v>
      </c>
      <c r="X58" s="215">
        <f t="shared" si="27"/>
        <v>0</v>
      </c>
      <c r="Y58" s="214">
        <f>SUMIFS(Master!AT$8:AT$55,Master!$J$8:$J$55,'Summary Dept Wise'!$C58,Master!$M$8:$M$55,'Summary Dept Wise'!$E58,Master!$N$8:$N$55,'Summary Dept Wise'!$F58)</f>
        <v>0</v>
      </c>
      <c r="Z58" s="216">
        <f t="shared" si="28"/>
        <v>0</v>
      </c>
      <c r="AA58" s="273">
        <f>SUMIFS(Master!AI$8:AI$55,Master!$J$8:$J$55,'Summary Dept Wise'!$C58,Master!$M$8:$M$55,'Summary Dept Wise'!$E58,Master!$N$8:$N$55,'Summary Dept Wise'!$F58,Master!$AV$8:$AV$55,"Paid")</f>
        <v>0</v>
      </c>
      <c r="AB58" s="273">
        <f>+Z58-AA58</f>
        <v>0</v>
      </c>
      <c r="AC58" s="273">
        <f>SUMIFS(Master!BF$8:BF$55,Master!$J$8:$J$55,'Summary Dept Wise'!$C58,Master!$M$8:$M$55,'Summary Dept Wise'!$E58,Master!$N$8:$N$55,'Summary Dept Wise'!$F58)</f>
        <v>0</v>
      </c>
    </row>
    <row r="59" spans="2:29" ht="13.8" x14ac:dyDescent="0.25">
      <c r="B59" s="238"/>
      <c r="C59" s="239"/>
      <c r="D59" s="240">
        <f>SUBTOTAL(9,D54:D58)</f>
        <v>6</v>
      </c>
      <c r="E59" s="241"/>
      <c r="F59" s="463">
        <f>G59/$G$69</f>
        <v>0.1541095890410959</v>
      </c>
      <c r="G59" s="242">
        <f t="shared" ref="G59:AC59" si="29">SUBTOTAL(9,G54:G58)</f>
        <v>495000</v>
      </c>
      <c r="H59" s="242">
        <f t="shared" si="29"/>
        <v>495000</v>
      </c>
      <c r="I59" s="242">
        <f t="shared" si="29"/>
        <v>0</v>
      </c>
      <c r="J59" s="242">
        <f t="shared" si="29"/>
        <v>0</v>
      </c>
      <c r="K59" s="242">
        <f t="shared" si="29"/>
        <v>4047.6190476190477</v>
      </c>
      <c r="L59" s="242">
        <f t="shared" si="29"/>
        <v>0</v>
      </c>
      <c r="M59" s="230">
        <f>SUBTOTAL(9,M54:M58)</f>
        <v>490952.38095238095</v>
      </c>
      <c r="N59" s="242">
        <f t="shared" si="29"/>
        <v>10795.85</v>
      </c>
      <c r="O59" s="242">
        <f t="shared" si="29"/>
        <v>250</v>
      </c>
      <c r="P59" s="242">
        <f t="shared" si="29"/>
        <v>0</v>
      </c>
      <c r="Q59" s="242">
        <f t="shared" si="29"/>
        <v>0</v>
      </c>
      <c r="R59" s="230">
        <f t="shared" si="29"/>
        <v>479906.53095238097</v>
      </c>
      <c r="S59" s="243">
        <f t="shared" si="29"/>
        <v>398954.15</v>
      </c>
      <c r="T59" s="242">
        <f t="shared" si="29"/>
        <v>0</v>
      </c>
      <c r="U59" s="242">
        <f t="shared" si="29"/>
        <v>0</v>
      </c>
      <c r="V59" s="243">
        <f t="shared" si="29"/>
        <v>80952.380952380947</v>
      </c>
      <c r="W59" s="243">
        <f t="shared" si="29"/>
        <v>0</v>
      </c>
      <c r="X59" s="230">
        <f t="shared" si="29"/>
        <v>479906.53095238097</v>
      </c>
      <c r="Y59" s="242">
        <f t="shared" si="29"/>
        <v>0</v>
      </c>
      <c r="Z59" s="242">
        <f t="shared" si="29"/>
        <v>479906.53095238097</v>
      </c>
      <c r="AA59" s="242">
        <f t="shared" si="29"/>
        <v>0</v>
      </c>
      <c r="AB59" s="242">
        <f t="shared" si="29"/>
        <v>479906.53095238097</v>
      </c>
      <c r="AC59" s="242">
        <f t="shared" si="29"/>
        <v>0</v>
      </c>
    </row>
    <row r="60" spans="2:29" ht="13.8" x14ac:dyDescent="0.25">
      <c r="B60" s="212"/>
      <c r="C60" s="37"/>
      <c r="D60" s="209"/>
      <c r="E60" s="213"/>
      <c r="F60" s="213"/>
      <c r="G60" s="214"/>
      <c r="H60" s="214"/>
      <c r="I60" s="214"/>
      <c r="J60" s="214"/>
      <c r="K60" s="214"/>
      <c r="L60" s="214"/>
      <c r="M60" s="215"/>
      <c r="N60" s="214"/>
      <c r="O60" s="214"/>
      <c r="P60" s="214"/>
      <c r="Q60" s="214"/>
      <c r="R60" s="215"/>
      <c r="S60" s="37"/>
      <c r="T60" s="37"/>
      <c r="U60" s="37"/>
      <c r="V60" s="37"/>
      <c r="W60" s="37"/>
      <c r="X60" s="215"/>
      <c r="Y60" s="37"/>
      <c r="Z60" s="211"/>
      <c r="AA60" s="272"/>
      <c r="AB60" s="272"/>
      <c r="AC60" s="272"/>
    </row>
    <row r="61" spans="2:29" ht="13.8" x14ac:dyDescent="0.25">
      <c r="B61" s="249" t="s">
        <v>394</v>
      </c>
      <c r="C61" s="37"/>
      <c r="D61" s="209"/>
      <c r="E61" s="213"/>
      <c r="F61" s="213"/>
      <c r="G61" s="214"/>
      <c r="H61" s="214"/>
      <c r="I61" s="214"/>
      <c r="J61" s="214"/>
      <c r="K61" s="214"/>
      <c r="L61" s="214"/>
      <c r="M61" s="215"/>
      <c r="N61" s="214"/>
      <c r="O61" s="214"/>
      <c r="P61" s="214"/>
      <c r="Q61" s="214"/>
      <c r="R61" s="215"/>
      <c r="S61" s="37"/>
      <c r="T61" s="37"/>
      <c r="U61" s="37"/>
      <c r="V61" s="37"/>
      <c r="W61" s="37"/>
      <c r="X61" s="215"/>
      <c r="Y61" s="37"/>
      <c r="Z61" s="211"/>
      <c r="AA61" s="272"/>
      <c r="AB61" s="272"/>
      <c r="AC61" s="272"/>
    </row>
    <row r="62" spans="2:29" ht="13.8" x14ac:dyDescent="0.25">
      <c r="B62" s="212"/>
      <c r="C62" s="37" t="s">
        <v>32</v>
      </c>
      <c r="D62" s="209">
        <f>COUNTIFS('Payroll HW Apr24'!$M$6:$M$62,'Summary Dept Wise'!$E62,'Payroll HW Apr24'!$N$6:$N$62,'Summary Dept Wise'!$F62,'Payroll HW Apr24'!$J$6:$J$62,'Summary Dept Wise'!$C62)</f>
        <v>3</v>
      </c>
      <c r="E62" s="213" t="s">
        <v>57</v>
      </c>
      <c r="F62" s="213" t="s">
        <v>277</v>
      </c>
      <c r="G62" s="214">
        <f>SUMIFS('Payroll HW Apr24'!P$6:P$62,'Payroll HW Apr24'!$M$6:$M$62,'Summary Dept Wise'!$E62,'Payroll HW Apr24'!$N$6:$N$62,'Summary Dept Wise'!$F62,'Payroll HW Apr24'!$J$6:$J$62,'Summary Dept Wise'!$C62)</f>
        <v>385000</v>
      </c>
      <c r="H62" s="214">
        <f>SUMIFS('Payroll HW Apr24'!U$6:U$62,'Payroll HW Apr24'!$M$6:$M$62,'Summary Dept Wise'!$E62,'Payroll HW Apr24'!$N$6:$N$62,'Summary Dept Wise'!$F62,'Payroll HW Apr24'!$J$6:$J$62,'Summary Dept Wise'!$C62)</f>
        <v>385000</v>
      </c>
      <c r="I62" s="214">
        <f>SUMIFS('Payroll HW Apr24'!V$6:V$62,'Payroll HW Apr24'!$M$6:$M$62,'Summary Dept Wise'!$E62,'Payroll HW Apr24'!$N$6:$N$62,'Summary Dept Wise'!$F62,'Payroll HW Apr24'!$J$6:$J$62,'Summary Dept Wise'!$C62)</f>
        <v>0</v>
      </c>
      <c r="J62" s="214">
        <f>SUMIFS('Payroll HW Apr24'!X$6:X$62,'Payroll HW Apr24'!$M$6:$M$62,'Summary Dept Wise'!$E62,'Payroll HW Apr24'!$N$6:$N$62,'Summary Dept Wise'!$F62,'Payroll HW Apr24'!$J$6:$J$62,'Summary Dept Wise'!$C62)</f>
        <v>0</v>
      </c>
      <c r="K62" s="214">
        <f>SUMIFS('Payroll HW Apr24'!Z$6:Z$62,'Payroll HW Apr24'!$M$6:$M$62,'Summary Dept Wise'!$E62,'Payroll HW Apr24'!$N$6:$N$62,'Summary Dept Wise'!$F62,'Payroll HW Apr24'!$J$6:$J$62,'Summary Dept Wise'!$C62)</f>
        <v>0</v>
      </c>
      <c r="L62" s="214">
        <f>SUMIFS('Payroll HW Apr24'!AC$6:AC$62,'Payroll HW Apr24'!$M$6:$M$62,'Summary Dept Wise'!$E62,'Payroll HW Apr24'!$N$6:$N$62,'Summary Dept Wise'!$F62,'Payroll HW Apr24'!$J$6:$J$62,'Summary Dept Wise'!$C62)</f>
        <v>0</v>
      </c>
      <c r="M62" s="215">
        <f>SUMIFS('Payroll HW Apr24'!AD$6:AD$62,'Payroll HW Apr24'!$M$6:$M$62,'Summary Dept Wise'!$E62,'Payroll HW Apr24'!$N$6:$N$62,'Summary Dept Wise'!$F62,'Payroll HW Apr24'!$J$6:$J$62,'Summary Dept Wise'!$C62)</f>
        <v>385000</v>
      </c>
      <c r="N62" s="214">
        <f>SUMIFS('Payroll HW Apr24'!AE$6:AE$62,'Payroll HW Apr24'!$M$6:$M$62,'Summary Dept Wise'!$E62,'Payroll HW Apr24'!$N$6:$N$62,'Summary Dept Wise'!$F62,'Payroll HW Apr24'!$J$6:$J$62,'Summary Dept Wise'!$C62)</f>
        <v>11806</v>
      </c>
      <c r="O62" s="214">
        <f>SUMIFS('Payroll HW Apr24'!AF$6:AF$62,'Payroll HW Apr24'!$M$6:$M$62,'Summary Dept Wise'!$E62,'Payroll HW Apr24'!$N$6:$N$62,'Summary Dept Wise'!$F62,'Payroll HW Apr24'!$J$6:$J$62,'Summary Dept Wise'!$C62)</f>
        <v>250</v>
      </c>
      <c r="P62" s="214">
        <f>SUMIFS('Payroll HW Apr24'!AG$6:AG$62,'Payroll HW Apr24'!$M$6:$M$62,'Summary Dept Wise'!$E62,'Payroll HW Apr24'!$N$6:$N$62,'Summary Dept Wise'!$F62,'Payroll HW Apr24'!$J$6:$J$62,'Summary Dept Wise'!$C62)</f>
        <v>0</v>
      </c>
      <c r="Q62" s="214">
        <f>SUMIFS('Payroll HW Apr24'!AH$6:AH$62,'Payroll HW Apr24'!$M$6:$M$62,'Summary Dept Wise'!$E62,'Payroll HW Apr24'!$N$6:$N$62,'Summary Dept Wise'!$F62,'Payroll HW Apr24'!$J$6:$J$62,'Summary Dept Wise'!$C62)</f>
        <v>0</v>
      </c>
      <c r="R62" s="215">
        <f>SUMIFS('Payroll HW Apr24'!AI$6:AI$62,'Payroll HW Apr24'!$M$6:$M$62,'Summary Dept Wise'!$E62,'Payroll HW Apr24'!$N$6:$N$62,'Summary Dept Wise'!$F62,'Payroll HW Apr24'!$J$6:$J$62,'Summary Dept Wise'!$C62)</f>
        <v>372944</v>
      </c>
      <c r="S62" s="214">
        <f>SUMIFS('Payroll HW Apr24'!AN$6:AN$62,'Payroll HW Apr24'!$M$6:$M$62,'Summary Dept Wise'!$E62,'Payroll HW Apr24'!$N$6:$N$62,'Summary Dept Wise'!$F62,'Payroll HW Apr24'!$J$6:$J$62,'Summary Dept Wise'!$C62)</f>
        <v>372944</v>
      </c>
      <c r="T62" s="214">
        <f>SUMIFS('Payroll HW Apr24'!AO$6:AO$62,'Payroll HW Apr24'!$M$6:$M$62,'Summary Dept Wise'!$E62,'Payroll HW Apr24'!$N$6:$N$62,'Summary Dept Wise'!$F62,'Payroll HW Apr24'!$J$6:$J$62,'Summary Dept Wise'!$C62)</f>
        <v>0</v>
      </c>
      <c r="U62" s="214">
        <f>SUMIFS('Payroll HW Apr24'!AP$6:AP$62,'Payroll HW Apr24'!$M$6:$M$62,'Summary Dept Wise'!$E62,'Payroll HW Apr24'!$N$6:$N$62,'Summary Dept Wise'!$F62,'Payroll HW Apr24'!$J$6:$J$62,'Summary Dept Wise'!$C62)</f>
        <v>0</v>
      </c>
      <c r="V62" s="214">
        <f>SUMIFS('Payroll HW Apr24'!AQ$6:AQ$62,'Payroll HW Apr24'!$M$6:$M$62,'Summary Dept Wise'!$E62,'Payroll HW Apr24'!$N$6:$N$62,'Summary Dept Wise'!$F62,'Payroll HW Apr24'!$J$6:$J$62,'Summary Dept Wise'!$C62)</f>
        <v>0</v>
      </c>
      <c r="W62" s="214">
        <f>SUMIFS('Payroll HW Apr24'!AR$6:AR$62,'Payroll HW Apr24'!$M$6:$M$62,'Summary Dept Wise'!$E62,'Payroll HW Apr24'!$N$6:$N$62,'Summary Dept Wise'!$F62,'Payroll HW Apr24'!$J$6:$J$62,'Summary Dept Wise'!$C62)</f>
        <v>0</v>
      </c>
      <c r="X62" s="215">
        <f t="shared" ref="X62:X63" si="30">SUM(S62:W62)</f>
        <v>372944</v>
      </c>
      <c r="Y62" s="214">
        <f>SUMIFS('Payroll HW Apr24'!AT$6:AT$62,'Payroll HW Apr24'!$M$6:$M$62,'Summary Dept Wise'!$E62,'Payroll HW Apr24'!$N$6:$N$62,'Summary Dept Wise'!$F62,'Payroll HW Apr24'!$J$6:$J$62,'Summary Dept Wise'!$C62)</f>
        <v>0</v>
      </c>
      <c r="Z62" s="216">
        <f t="shared" ref="Z62:Z63" si="31">SUM(X62:Y62)</f>
        <v>372944</v>
      </c>
      <c r="AA62" s="273">
        <f>SUMIFS(Master!AI$8:AI$55,Master!$J$8:$J$55,'Summary Dept Wise'!$C62,Master!$M$8:$M$55,'Summary Dept Wise'!$E62,Master!$N$8:$N$55,'Summary Dept Wise'!$F62,Master!$AV$8:$AV$55,"Paid")</f>
        <v>0</v>
      </c>
      <c r="AB62" s="273">
        <f>+Z62-AA62</f>
        <v>372944</v>
      </c>
      <c r="AC62" s="273">
        <f>SUMIFS(Master!BF$8:BF$55,Master!$J$8:$J$55,'Summary Dept Wise'!$C62,Master!$M$8:$M$55,'Summary Dept Wise'!$E62,Master!$N$8:$N$55,'Summary Dept Wise'!$F62)</f>
        <v>0</v>
      </c>
    </row>
    <row r="63" spans="2:29" ht="13.8" x14ac:dyDescent="0.25">
      <c r="B63" s="212"/>
      <c r="C63" s="37" t="s">
        <v>56</v>
      </c>
      <c r="D63" s="209">
        <f>COUNTIFS('Payroll HW Apr24'!$M$6:$M$62,'Summary Dept Wise'!$E63,'Payroll HW Apr24'!$N$6:$N$62,'Summary Dept Wise'!$F63,'Payroll HW Apr24'!$J$6:$J$62,'Summary Dept Wise'!$C63)</f>
        <v>2</v>
      </c>
      <c r="E63" s="213" t="s">
        <v>57</v>
      </c>
      <c r="F63" s="213" t="s">
        <v>277</v>
      </c>
      <c r="G63" s="214">
        <f>SUMIFS('Payroll HW Apr24'!P$6:P$62,'Payroll HW Apr24'!$M$6:$M$62,'Summary Dept Wise'!$E63,'Payroll HW Apr24'!$N$6:$N$62,'Summary Dept Wise'!$F63,'Payroll HW Apr24'!$J$6:$J$62,'Summary Dept Wise'!$C63)</f>
        <v>175000</v>
      </c>
      <c r="H63" s="214">
        <f>SUMIFS('Payroll HW Apr24'!U$6:U$62,'Payroll HW Apr24'!$M$6:$M$62,'Summary Dept Wise'!$E63,'Payroll HW Apr24'!$N$6:$N$62,'Summary Dept Wise'!$F63,'Payroll HW Apr24'!$J$6:$J$62,'Summary Dept Wise'!$C63)</f>
        <v>175000</v>
      </c>
      <c r="I63" s="214">
        <f>SUMIFS('Payroll HW Apr24'!V$6:V$62,'Payroll HW Apr24'!$M$6:$M$62,'Summary Dept Wise'!$E63,'Payroll HW Apr24'!$N$6:$N$62,'Summary Dept Wise'!$F63,'Payroll HW Apr24'!$J$6:$J$62,'Summary Dept Wise'!$C63)</f>
        <v>0</v>
      </c>
      <c r="J63" s="214">
        <f>SUMIFS('Payroll HW Apr24'!X$6:X$62,'Payroll HW Apr24'!$M$6:$M$62,'Summary Dept Wise'!$E63,'Payroll HW Apr24'!$N$6:$N$62,'Summary Dept Wise'!$F63,'Payroll HW Apr24'!$J$6:$J$62,'Summary Dept Wise'!$C63)</f>
        <v>0</v>
      </c>
      <c r="K63" s="214">
        <f>SUMIFS('Payroll HW Apr24'!Z$6:Z$62,'Payroll HW Apr24'!$M$6:$M$62,'Summary Dept Wise'!$E63,'Payroll HW Apr24'!$N$6:$N$62,'Summary Dept Wise'!$F63,'Payroll HW Apr24'!$J$6:$J$62,'Summary Dept Wise'!$C63)</f>
        <v>0</v>
      </c>
      <c r="L63" s="214">
        <f>SUMIFS('Payroll HW Apr24'!AC$6:AC$62,'Payroll HW Apr24'!$M$6:$M$62,'Summary Dept Wise'!$E63,'Payroll HW Apr24'!$N$6:$N$62,'Summary Dept Wise'!$F63,'Payroll HW Apr24'!$J$6:$J$62,'Summary Dept Wise'!$C63)</f>
        <v>0</v>
      </c>
      <c r="M63" s="215">
        <f>SUMIFS('Payroll HW Apr24'!AD$6:AD$62,'Payroll HW Apr24'!$M$6:$M$62,'Summary Dept Wise'!$E63,'Payroll HW Apr24'!$N$6:$N$62,'Summary Dept Wise'!$F63,'Payroll HW Apr24'!$J$6:$J$62,'Summary Dept Wise'!$C63)</f>
        <v>175000</v>
      </c>
      <c r="N63" s="214">
        <f>SUMIFS('Payroll HW Apr24'!AE$6:AE$62,'Payroll HW Apr24'!$M$6:$M$62,'Summary Dept Wise'!$E63,'Payroll HW Apr24'!$N$6:$N$62,'Summary Dept Wise'!$F63,'Payroll HW Apr24'!$J$6:$J$62,'Summary Dept Wise'!$C63)</f>
        <v>3062</v>
      </c>
      <c r="O63" s="214">
        <f>SUMIFS('Payroll HW Apr24'!AF$6:AF$62,'Payroll HW Apr24'!$M$6:$M$62,'Summary Dept Wise'!$E63,'Payroll HW Apr24'!$N$6:$N$62,'Summary Dept Wise'!$F63,'Payroll HW Apr24'!$J$6:$J$62,'Summary Dept Wise'!$C63)</f>
        <v>500</v>
      </c>
      <c r="P63" s="214">
        <f>SUMIFS('Payroll HW Apr24'!AG$6:AG$62,'Payroll HW Apr24'!$M$6:$M$62,'Summary Dept Wise'!$E63,'Payroll HW Apr24'!$N$6:$N$62,'Summary Dept Wise'!$F63,'Payroll HW Apr24'!$J$6:$J$62,'Summary Dept Wise'!$C63)</f>
        <v>0</v>
      </c>
      <c r="Q63" s="214">
        <f>SUMIFS('Payroll HW Apr24'!AH$6:AH$62,'Payroll HW Apr24'!$M$6:$M$62,'Summary Dept Wise'!$E63,'Payroll HW Apr24'!$N$6:$N$62,'Summary Dept Wise'!$F63,'Payroll HW Apr24'!$J$6:$J$62,'Summary Dept Wise'!$C63)</f>
        <v>10000</v>
      </c>
      <c r="R63" s="215">
        <f>SUMIFS('Payroll HW Apr24'!AI$6:AI$62,'Payroll HW Apr24'!$M$6:$M$62,'Summary Dept Wise'!$E63,'Payroll HW Apr24'!$N$6:$N$62,'Summary Dept Wise'!$F63,'Payroll HW Apr24'!$J$6:$J$62,'Summary Dept Wise'!$C63)</f>
        <v>161438</v>
      </c>
      <c r="S63" s="214">
        <f>SUMIFS('Payroll HW Apr24'!AN$6:AN$62,'Payroll HW Apr24'!$M$6:$M$62,'Summary Dept Wise'!$E63,'Payroll HW Apr24'!$N$6:$N$62,'Summary Dept Wise'!$F63,'Payroll HW Apr24'!$J$6:$J$62,'Summary Dept Wise'!$C63)</f>
        <v>161438</v>
      </c>
      <c r="T63" s="214">
        <f>SUMIFS('Payroll HW Apr24'!AO$6:AO$62,'Payroll HW Apr24'!$M$6:$M$62,'Summary Dept Wise'!$E63,'Payroll HW Apr24'!$N$6:$N$62,'Summary Dept Wise'!$F63,'Payroll HW Apr24'!$J$6:$J$62,'Summary Dept Wise'!$C63)</f>
        <v>0</v>
      </c>
      <c r="U63" s="214">
        <f>SUMIFS('Payroll HW Apr24'!AP$6:AP$62,'Payroll HW Apr24'!$M$6:$M$62,'Summary Dept Wise'!$E63,'Payroll HW Apr24'!$N$6:$N$62,'Summary Dept Wise'!$F63,'Payroll HW Apr24'!$J$6:$J$62,'Summary Dept Wise'!$C63)</f>
        <v>0</v>
      </c>
      <c r="V63" s="214">
        <f>SUMIFS('Payroll HW Apr24'!AQ$6:AQ$62,'Payroll HW Apr24'!$M$6:$M$62,'Summary Dept Wise'!$E63,'Payroll HW Apr24'!$N$6:$N$62,'Summary Dept Wise'!$F63,'Payroll HW Apr24'!$J$6:$J$62,'Summary Dept Wise'!$C63)</f>
        <v>0</v>
      </c>
      <c r="W63" s="214">
        <f>SUMIFS('Payroll HW Apr24'!AR$6:AR$62,'Payroll HW Apr24'!$M$6:$M$62,'Summary Dept Wise'!$E63,'Payroll HW Apr24'!$N$6:$N$62,'Summary Dept Wise'!$F63,'Payroll HW Apr24'!$J$6:$J$62,'Summary Dept Wise'!$C63)</f>
        <v>0</v>
      </c>
      <c r="X63" s="215">
        <f t="shared" si="30"/>
        <v>161438</v>
      </c>
      <c r="Y63" s="214">
        <f>SUMIFS('Payroll HW Apr24'!AT$6:AT$62,'Payroll HW Apr24'!$M$6:$M$62,'Summary Dept Wise'!$E63,'Payroll HW Apr24'!$N$6:$N$62,'Summary Dept Wise'!$F63,'Payroll HW Apr24'!$J$6:$J$62,'Summary Dept Wise'!$C63)</f>
        <v>0</v>
      </c>
      <c r="Z63" s="216">
        <f t="shared" si="31"/>
        <v>161438</v>
      </c>
      <c r="AA63" s="273">
        <f>SUMIFS(Master!AI$8:AI$55,Master!$J$8:$J$55,'Summary Dept Wise'!$C63,Master!$M$8:$M$55,'Summary Dept Wise'!$E63,Master!$N$8:$N$55,'Summary Dept Wise'!$F63,Master!$AV$8:$AV$55,"Paid")</f>
        <v>0</v>
      </c>
      <c r="AB63" s="273">
        <f>+Z63-AA63</f>
        <v>161438</v>
      </c>
      <c r="AC63" s="273">
        <f>SUMIFS(Master!BF$8:BF$55,Master!$J$8:$J$55,'Summary Dept Wise'!$C63,Master!$M$8:$M$55,'Summary Dept Wise'!$E63,Master!$N$8:$N$55,'Summary Dept Wise'!$F63)</f>
        <v>0</v>
      </c>
    </row>
    <row r="64" spans="2:29" ht="13.8" x14ac:dyDescent="0.25">
      <c r="B64" s="238"/>
      <c r="C64" s="239"/>
      <c r="D64" s="240">
        <f>SUBTOTAL(9,D62:D63)</f>
        <v>5</v>
      </c>
      <c r="E64" s="241"/>
      <c r="F64" s="463">
        <f>G64/$G$69</f>
        <v>0.17434620174346202</v>
      </c>
      <c r="G64" s="242">
        <f>SUBTOTAL(9,G62:G63)</f>
        <v>560000</v>
      </c>
      <c r="H64" s="242">
        <f t="shared" ref="H64:Z64" si="32">SUBTOTAL(9,H62:H63)</f>
        <v>560000</v>
      </c>
      <c r="I64" s="242">
        <f t="shared" si="32"/>
        <v>0</v>
      </c>
      <c r="J64" s="242">
        <f t="shared" si="32"/>
        <v>0</v>
      </c>
      <c r="K64" s="242">
        <f t="shared" si="32"/>
        <v>0</v>
      </c>
      <c r="L64" s="242">
        <f t="shared" si="32"/>
        <v>0</v>
      </c>
      <c r="M64" s="230">
        <f t="shared" si="32"/>
        <v>560000</v>
      </c>
      <c r="N64" s="242">
        <f t="shared" si="32"/>
        <v>14868</v>
      </c>
      <c r="O64" s="242">
        <f t="shared" si="32"/>
        <v>750</v>
      </c>
      <c r="P64" s="242">
        <f t="shared" si="32"/>
        <v>0</v>
      </c>
      <c r="Q64" s="242">
        <f t="shared" si="32"/>
        <v>10000</v>
      </c>
      <c r="R64" s="230">
        <f t="shared" si="32"/>
        <v>534382</v>
      </c>
      <c r="S64" s="242">
        <f t="shared" si="32"/>
        <v>534382</v>
      </c>
      <c r="T64" s="242">
        <f t="shared" si="32"/>
        <v>0</v>
      </c>
      <c r="U64" s="242">
        <f t="shared" si="32"/>
        <v>0</v>
      </c>
      <c r="V64" s="242">
        <f t="shared" si="32"/>
        <v>0</v>
      </c>
      <c r="W64" s="242">
        <f t="shared" si="32"/>
        <v>0</v>
      </c>
      <c r="X64" s="230">
        <f t="shared" si="32"/>
        <v>534382</v>
      </c>
      <c r="Y64" s="242">
        <f t="shared" si="32"/>
        <v>0</v>
      </c>
      <c r="Z64" s="244">
        <f t="shared" si="32"/>
        <v>534382</v>
      </c>
      <c r="AA64" s="244">
        <f>SUBTOTAL(9,AA62:AA63)</f>
        <v>0</v>
      </c>
      <c r="AB64" s="244">
        <f>SUBTOTAL(9,AB62:AB63)</f>
        <v>534382</v>
      </c>
      <c r="AC64" s="244">
        <f>SUBTOTAL(9,AC62:AC63)</f>
        <v>0</v>
      </c>
    </row>
    <row r="65" spans="1:29" ht="13.8" x14ac:dyDescent="0.25">
      <c r="B65" s="212"/>
      <c r="C65" s="37"/>
      <c r="D65" s="209"/>
      <c r="E65" s="213"/>
      <c r="F65" s="213"/>
      <c r="G65" s="214"/>
      <c r="H65" s="214"/>
      <c r="I65" s="214"/>
      <c r="J65" s="214"/>
      <c r="K65" s="214"/>
      <c r="L65" s="214"/>
      <c r="M65" s="215"/>
      <c r="N65" s="214"/>
      <c r="O65" s="214"/>
      <c r="P65" s="214"/>
      <c r="Q65" s="214"/>
      <c r="R65" s="215"/>
      <c r="S65" s="37"/>
      <c r="T65" s="37"/>
      <c r="U65" s="37"/>
      <c r="V65" s="37"/>
      <c r="W65" s="37"/>
      <c r="X65" s="215"/>
      <c r="Y65" s="37"/>
      <c r="Z65" s="211"/>
      <c r="AA65" s="272"/>
      <c r="AB65" s="272"/>
      <c r="AC65" s="272"/>
    </row>
    <row r="66" spans="1:29" ht="13.8" x14ac:dyDescent="0.25">
      <c r="B66" s="217"/>
      <c r="C66" s="218" t="s">
        <v>155</v>
      </c>
      <c r="D66" s="219">
        <f>SUBTOTAL(9,D31:D65)</f>
        <v>34</v>
      </c>
      <c r="E66" s="220"/>
      <c r="F66" s="464">
        <f>G66/$G$69</f>
        <v>0.70983810709838102</v>
      </c>
      <c r="G66" s="221">
        <f t="shared" ref="G66:Z66" si="33">SUBTOTAL(9,G31:G65)</f>
        <v>2280000</v>
      </c>
      <c r="H66" s="221">
        <f t="shared" si="33"/>
        <v>2440000</v>
      </c>
      <c r="I66" s="221">
        <f t="shared" si="33"/>
        <v>0</v>
      </c>
      <c r="J66" s="221">
        <f t="shared" si="33"/>
        <v>0</v>
      </c>
      <c r="K66" s="221">
        <f t="shared" si="33"/>
        <v>104087.09273182959</v>
      </c>
      <c r="L66" s="221">
        <f t="shared" si="33"/>
        <v>2192.9824561403511</v>
      </c>
      <c r="M66" s="222">
        <f t="shared" si="33"/>
        <v>2333719.92481203</v>
      </c>
      <c r="N66" s="221">
        <f t="shared" si="33"/>
        <v>40585.4</v>
      </c>
      <c r="O66" s="221">
        <f t="shared" si="33"/>
        <v>1750</v>
      </c>
      <c r="P66" s="221">
        <f t="shared" si="33"/>
        <v>160000</v>
      </c>
      <c r="Q66" s="221">
        <f t="shared" si="33"/>
        <v>15000</v>
      </c>
      <c r="R66" s="222">
        <f t="shared" si="33"/>
        <v>2116384.5248120301</v>
      </c>
      <c r="S66" s="221">
        <f t="shared" si="33"/>
        <v>1902664.5999999999</v>
      </c>
      <c r="T66" s="221">
        <f t="shared" si="33"/>
        <v>0</v>
      </c>
      <c r="U66" s="221">
        <f t="shared" si="33"/>
        <v>0</v>
      </c>
      <c r="V66" s="221">
        <f t="shared" si="33"/>
        <v>146202.38095238095</v>
      </c>
      <c r="W66" s="221">
        <f t="shared" si="33"/>
        <v>42078.947368421053</v>
      </c>
      <c r="X66" s="222">
        <f t="shared" ref="X66" si="34">SUBTOTAL(9,X31:X65)</f>
        <v>2090945.928320802</v>
      </c>
      <c r="Y66" s="221">
        <f t="shared" si="33"/>
        <v>25438.596491228069</v>
      </c>
      <c r="Z66" s="221">
        <f t="shared" si="33"/>
        <v>2116384.5248120301</v>
      </c>
      <c r="AA66" s="277">
        <f>SUBTOTAL(9,AA31:AA65)</f>
        <v>177328.94736842107</v>
      </c>
      <c r="AB66" s="277">
        <f>SUBTOTAL(9,AB31:AB65)</f>
        <v>1939055.577443609</v>
      </c>
      <c r="AC66" s="277">
        <f>SUBTOTAL(9,AC31:AC65)</f>
        <v>0</v>
      </c>
    </row>
    <row r="67" spans="1:29" ht="13.8" x14ac:dyDescent="0.25">
      <c r="B67" s="251"/>
      <c r="C67" s="226" t="s">
        <v>154</v>
      </c>
      <c r="D67" s="252"/>
      <c r="E67" s="228"/>
      <c r="F67" s="228"/>
      <c r="G67" s="229">
        <f>+G66/$H$1</f>
        <v>8260.8695652173919</v>
      </c>
      <c r="H67" s="229">
        <f t="shared" ref="H67:Z67" si="35">+H66/$H$1</f>
        <v>8840.579710144928</v>
      </c>
      <c r="I67" s="229">
        <f t="shared" si="35"/>
        <v>0</v>
      </c>
      <c r="J67" s="229">
        <f t="shared" si="35"/>
        <v>0</v>
      </c>
      <c r="K67" s="229">
        <f t="shared" si="35"/>
        <v>377.12714757909271</v>
      </c>
      <c r="L67" s="229">
        <f t="shared" si="35"/>
        <v>7.9455886092041705</v>
      </c>
      <c r="M67" s="230">
        <f t="shared" si="35"/>
        <v>8455.5069739566297</v>
      </c>
      <c r="N67" s="229">
        <f t="shared" si="35"/>
        <v>147.04855072463769</v>
      </c>
      <c r="O67" s="229">
        <f t="shared" si="35"/>
        <v>6.3405797101449277</v>
      </c>
      <c r="P67" s="229">
        <f t="shared" si="35"/>
        <v>579.71014492753625</v>
      </c>
      <c r="Q67" s="229">
        <f t="shared" si="35"/>
        <v>54.347826086956523</v>
      </c>
      <c r="R67" s="230">
        <f t="shared" si="35"/>
        <v>7668.059872507356</v>
      </c>
      <c r="S67" s="229">
        <f t="shared" si="35"/>
        <v>6893.7123188405794</v>
      </c>
      <c r="T67" s="229">
        <f t="shared" si="35"/>
        <v>0</v>
      </c>
      <c r="U67" s="229">
        <f t="shared" si="35"/>
        <v>0</v>
      </c>
      <c r="V67" s="229">
        <f t="shared" si="35"/>
        <v>529.71877156659764</v>
      </c>
      <c r="W67" s="229">
        <f t="shared" si="35"/>
        <v>152.4599542334096</v>
      </c>
      <c r="X67" s="230">
        <f t="shared" ref="X67" si="36">+X66/$H$1</f>
        <v>7575.8910446405871</v>
      </c>
      <c r="Y67" s="229">
        <f t="shared" si="35"/>
        <v>92.168827866768368</v>
      </c>
      <c r="Z67" s="229">
        <f t="shared" si="35"/>
        <v>7668.059872507356</v>
      </c>
      <c r="AA67" s="242">
        <f>+AA66/$H$1</f>
        <v>642.49618611746769</v>
      </c>
      <c r="AB67" s="242">
        <f>+AB66/$H$1</f>
        <v>7025.5636863898881</v>
      </c>
      <c r="AC67" s="242">
        <f>+AC66/$H$1</f>
        <v>0</v>
      </c>
    </row>
    <row r="68" spans="1:29" s="2" customFormat="1" ht="13.8" x14ac:dyDescent="0.25">
      <c r="A68" s="1"/>
      <c r="B68" s="37"/>
      <c r="C68" s="37"/>
      <c r="D68" s="209"/>
      <c r="E68" s="213"/>
      <c r="F68" s="213"/>
      <c r="G68" s="253"/>
      <c r="H68" s="253"/>
      <c r="I68" s="253"/>
      <c r="J68" s="253"/>
      <c r="K68" s="253"/>
      <c r="L68" s="253"/>
      <c r="M68" s="254"/>
      <c r="N68" s="253"/>
      <c r="O68" s="253"/>
      <c r="P68" s="253"/>
      <c r="Q68" s="253"/>
      <c r="R68" s="254"/>
      <c r="S68" s="37"/>
      <c r="T68" s="37"/>
      <c r="U68" s="37"/>
      <c r="V68" s="37"/>
      <c r="W68" s="37"/>
      <c r="X68" s="254"/>
      <c r="Y68" s="37"/>
      <c r="Z68" s="37"/>
      <c r="AA68" s="239"/>
      <c r="AB68" s="239"/>
      <c r="AC68" s="239"/>
    </row>
    <row r="69" spans="1:29" s="2" customFormat="1" ht="14.4" thickBot="1" x14ac:dyDescent="0.3">
      <c r="B69" s="255"/>
      <c r="C69" s="533" t="s">
        <v>155</v>
      </c>
      <c r="D69" s="256">
        <f>SUBTOTAL(9,D6:D66)</f>
        <v>46</v>
      </c>
      <c r="E69" s="245"/>
      <c r="F69" s="245"/>
      <c r="G69" s="257">
        <f t="shared" ref="G69:Z69" si="37">+SUM(G66,G28,G10)</f>
        <v>3212000</v>
      </c>
      <c r="H69" s="257">
        <f t="shared" si="37"/>
        <v>3372000</v>
      </c>
      <c r="I69" s="257">
        <f t="shared" si="37"/>
        <v>0</v>
      </c>
      <c r="J69" s="257">
        <f t="shared" si="37"/>
        <v>0</v>
      </c>
      <c r="K69" s="257">
        <f t="shared" si="37"/>
        <v>177395.36340852134</v>
      </c>
      <c r="L69" s="257">
        <f t="shared" si="37"/>
        <v>2192.9824561403511</v>
      </c>
      <c r="M69" s="258">
        <f t="shared" si="37"/>
        <v>3192411.654135338</v>
      </c>
      <c r="N69" s="257">
        <f t="shared" si="37"/>
        <v>45859.6</v>
      </c>
      <c r="O69" s="257">
        <f t="shared" si="37"/>
        <v>2500</v>
      </c>
      <c r="P69" s="257">
        <f t="shared" si="37"/>
        <v>177000</v>
      </c>
      <c r="Q69" s="257">
        <f t="shared" si="37"/>
        <v>25000</v>
      </c>
      <c r="R69" s="258">
        <f t="shared" si="37"/>
        <v>2942052.0541353384</v>
      </c>
      <c r="S69" s="259">
        <f t="shared" si="37"/>
        <v>2454431.9082706766</v>
      </c>
      <c r="T69" s="257">
        <f t="shared" si="37"/>
        <v>0</v>
      </c>
      <c r="U69" s="260">
        <f t="shared" si="37"/>
        <v>0</v>
      </c>
      <c r="V69" s="259">
        <f t="shared" si="37"/>
        <v>368103.00200501253</v>
      </c>
      <c r="W69" s="259">
        <f t="shared" si="37"/>
        <v>94078.947368421053</v>
      </c>
      <c r="X69" s="258">
        <f t="shared" ref="X69" si="38">+SUM(X66,X28,X10)</f>
        <v>2670185.2862155391</v>
      </c>
      <c r="Y69" s="257">
        <f t="shared" si="37"/>
        <v>25438.596491228069</v>
      </c>
      <c r="Z69" s="257">
        <f t="shared" si="37"/>
        <v>2942052.4541353383</v>
      </c>
      <c r="AA69" s="278">
        <f>+SUM(AA66,AA28,AA10)</f>
        <v>250328.94736842107</v>
      </c>
      <c r="AB69" s="278">
        <f>+SUM(AB66,AB28,AB10)</f>
        <v>2691723.5067669172</v>
      </c>
      <c r="AC69" s="278">
        <f>+SUM(AC66,AC28,AC10)</f>
        <v>0</v>
      </c>
    </row>
    <row r="70" spans="1:29" s="2" customFormat="1" ht="14.4" thickTop="1" x14ac:dyDescent="0.25">
      <c r="B70" s="226"/>
      <c r="C70" s="226" t="s">
        <v>154</v>
      </c>
      <c r="D70" s="252"/>
      <c r="E70" s="252"/>
      <c r="F70" s="252"/>
      <c r="G70" s="229">
        <f>+G69/$H$1</f>
        <v>11637.68115942029</v>
      </c>
      <c r="H70" s="229">
        <f>+H69/$H$1</f>
        <v>12217.391304347826</v>
      </c>
      <c r="I70" s="229">
        <f t="shared" ref="I70:AB70" si="39">+I69/$H$1</f>
        <v>0</v>
      </c>
      <c r="J70" s="229">
        <f t="shared" si="39"/>
        <v>0</v>
      </c>
      <c r="K70" s="229">
        <f t="shared" si="39"/>
        <v>642.7368239439179</v>
      </c>
      <c r="L70" s="229">
        <f t="shared" si="39"/>
        <v>7.9455886092041705</v>
      </c>
      <c r="M70" s="230">
        <f t="shared" si="39"/>
        <v>11566.708891794702</v>
      </c>
      <c r="N70" s="229">
        <f t="shared" si="39"/>
        <v>166.15797101449274</v>
      </c>
      <c r="O70" s="229">
        <f t="shared" si="39"/>
        <v>9.0579710144927539</v>
      </c>
      <c r="P70" s="229">
        <f t="shared" si="39"/>
        <v>641.304347826087</v>
      </c>
      <c r="Q70" s="229">
        <f t="shared" si="39"/>
        <v>90.579710144927532</v>
      </c>
      <c r="R70" s="230">
        <f t="shared" si="39"/>
        <v>10659.608891794704</v>
      </c>
      <c r="S70" s="229">
        <f t="shared" si="39"/>
        <v>8892.8692328647703</v>
      </c>
      <c r="T70" s="229">
        <f t="shared" si="39"/>
        <v>0</v>
      </c>
      <c r="U70" s="229">
        <f t="shared" si="39"/>
        <v>0</v>
      </c>
      <c r="V70" s="229">
        <f t="shared" si="39"/>
        <v>1333.7065290036685</v>
      </c>
      <c r="W70" s="229">
        <f t="shared" si="39"/>
        <v>340.86575133485889</v>
      </c>
      <c r="X70" s="230">
        <f t="shared" ref="X70" si="40">+X69/$H$1</f>
        <v>9674.584370346156</v>
      </c>
      <c r="Y70" s="229">
        <f t="shared" si="39"/>
        <v>92.168827866768368</v>
      </c>
      <c r="Z70" s="229">
        <f t="shared" si="39"/>
        <v>10659.610341070067</v>
      </c>
      <c r="AA70" s="242">
        <f t="shared" si="39"/>
        <v>906.98893974065606</v>
      </c>
      <c r="AB70" s="242">
        <f t="shared" si="39"/>
        <v>9752.6214013294102</v>
      </c>
      <c r="AC70" s="242">
        <f>+AC69/$H$1</f>
        <v>0</v>
      </c>
    </row>
    <row r="71" spans="1:29" s="2" customFormat="1" ht="13.8" x14ac:dyDescent="0.25">
      <c r="B71" s="255"/>
      <c r="C71" s="255"/>
      <c r="D71" s="245"/>
      <c r="E71" s="245"/>
      <c r="F71" s="245"/>
      <c r="G71" s="246"/>
      <c r="H71" s="246"/>
      <c r="I71" s="246"/>
      <c r="J71" s="246"/>
      <c r="K71" s="246"/>
      <c r="L71" s="246"/>
      <c r="M71" s="246"/>
      <c r="N71" s="246"/>
      <c r="O71" s="246"/>
      <c r="P71" s="246"/>
      <c r="Q71" s="246"/>
      <c r="R71" s="246"/>
      <c r="S71" s="246"/>
      <c r="T71" s="246"/>
      <c r="U71" s="246"/>
      <c r="V71" s="246"/>
      <c r="W71" s="246"/>
      <c r="X71" s="246"/>
      <c r="Y71" s="246"/>
      <c r="Z71" s="246"/>
      <c r="AA71" s="246"/>
      <c r="AB71" s="246"/>
      <c r="AC71" s="246"/>
    </row>
    <row r="72" spans="1:29" s="12" customFormat="1" x14ac:dyDescent="0.25">
      <c r="A72" s="2"/>
      <c r="B72" s="2"/>
      <c r="C72" s="2"/>
      <c r="D72" s="13"/>
      <c r="E72" s="13"/>
      <c r="F72" s="13"/>
      <c r="G72" s="16"/>
      <c r="I72" s="16"/>
      <c r="J72" s="16"/>
      <c r="K72" s="16"/>
      <c r="L72" s="16"/>
      <c r="M72" s="16"/>
      <c r="N72" s="16"/>
      <c r="O72" s="16"/>
      <c r="P72" s="16"/>
      <c r="Q72" s="16"/>
      <c r="R72" s="206" t="s">
        <v>401</v>
      </c>
      <c r="S72" s="16">
        <v>-106789</v>
      </c>
      <c r="T72" s="16"/>
      <c r="U72" s="16"/>
      <c r="V72" s="16">
        <f>-Master!AX56</f>
        <v>-44461</v>
      </c>
      <c r="W72" s="16">
        <f>-Master!AY56</f>
        <v>-94079</v>
      </c>
      <c r="X72" s="16"/>
      <c r="Y72" s="16"/>
      <c r="Z72" s="16">
        <f>SUM(S72:Y72)</f>
        <v>-245329</v>
      </c>
      <c r="AA72" s="2"/>
      <c r="AB72" s="2"/>
      <c r="AC72" s="2"/>
    </row>
    <row r="73" spans="1:29" s="12" customFormat="1" x14ac:dyDescent="0.25">
      <c r="A73" s="2"/>
      <c r="B73" s="2"/>
      <c r="C73" s="2"/>
      <c r="D73" s="13"/>
      <c r="E73" s="13"/>
      <c r="F73" s="13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2"/>
      <c r="AB73" s="2"/>
      <c r="AC73" s="2"/>
    </row>
    <row r="74" spans="1:29" s="12" customFormat="1" ht="13.8" thickBot="1" x14ac:dyDescent="0.3">
      <c r="A74" s="2"/>
      <c r="B74" s="2"/>
      <c r="C74" s="2"/>
      <c r="D74" s="13"/>
      <c r="E74" s="13"/>
      <c r="F74" s="13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206" t="s">
        <v>402</v>
      </c>
      <c r="S74" s="14">
        <f>+S69+S72</f>
        <v>2347642.9082706766</v>
      </c>
      <c r="T74" s="14"/>
      <c r="U74" s="14"/>
      <c r="V74" s="14">
        <f>+V69+V72</f>
        <v>323642.00200501253</v>
      </c>
      <c r="W74" s="14">
        <f>+W69+W72</f>
        <v>-5.2631578946602531E-2</v>
      </c>
      <c r="X74" s="14"/>
      <c r="Y74" s="14"/>
      <c r="Z74" s="14">
        <f>SUM(S74:Y74)</f>
        <v>2671284.8576441105</v>
      </c>
      <c r="AA74" s="2">
        <v>2546797</v>
      </c>
      <c r="AB74" s="16">
        <f>AA74-Z74</f>
        <v>-124487.85764411045</v>
      </c>
      <c r="AC74" s="2"/>
    </row>
    <row r="75" spans="1:29" s="12" customFormat="1" ht="13.8" thickTop="1" x14ac:dyDescent="0.25">
      <c r="A75" s="2"/>
      <c r="B75" s="2"/>
      <c r="C75" s="2"/>
      <c r="D75" s="13"/>
      <c r="E75" s="13"/>
      <c r="F75" s="13"/>
      <c r="G75" s="16"/>
      <c r="H75" s="16">
        <f>G69-H69</f>
        <v>-160000</v>
      </c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2">
        <v>-2538021</v>
      </c>
      <c r="AB75" s="2"/>
      <c r="AC75" s="2"/>
    </row>
    <row r="76" spans="1:29" s="12" customFormat="1" x14ac:dyDescent="0.25">
      <c r="D76" s="36"/>
      <c r="G76" s="12">
        <f>+'Payroll DES Apr24'!P18+'Payroll HW Apr24'!P54+'Payroll Support Apr24'!P17</f>
        <v>3212000</v>
      </c>
      <c r="H76" s="12">
        <f>+'Payroll DES Apr24'!U18+'Payroll HW Apr24'!U54+'Payroll Support Apr24'!U17</f>
        <v>3372000</v>
      </c>
      <c r="M76" s="12">
        <f>+'Payroll DES Apr24'!AD18+'Payroll HW Apr24'!AD54+'Payroll Support Apr24'!AD17</f>
        <v>3192411.654135338</v>
      </c>
      <c r="R76" s="12">
        <f>+'Payroll DES Apr24'!AI18+'Payroll HW Apr24'!AI54+'Payroll Support Apr24'!AI17</f>
        <v>2942052.0541353384</v>
      </c>
      <c r="S76" s="12">
        <f>+'Payroll DES Apr24'!AN18+'Payroll HW Apr24'!AN54+'Payroll Support Apr24'!AN17</f>
        <v>2454431.9082706766</v>
      </c>
      <c r="T76" s="12">
        <f>+'Payroll DES Apr24'!AO18+'Payroll HW Apr24'!AO54+'Payroll Support Apr24'!AO17</f>
        <v>0</v>
      </c>
      <c r="U76" s="12">
        <f>+'Payroll DES Apr24'!AP18+'Payroll HW Apr24'!AP54+'Payroll Support Apr24'!AP17</f>
        <v>0</v>
      </c>
      <c r="V76" s="12">
        <f>+'Payroll DES Apr24'!AQ18+'Payroll HW Apr24'!AQ54+'Payroll Support Apr24'!AQ17</f>
        <v>368103.00200501253</v>
      </c>
      <c r="W76" s="12">
        <f>+'Payroll DES Apr24'!AR18+'Payroll HW Apr24'!AR54+'Payroll Support Apr24'!AR17</f>
        <v>94078.947368421053</v>
      </c>
      <c r="Y76" s="12">
        <f>+'Payroll DES Apr24'!AT18+'Payroll HW Apr24'!AT54+'Payroll Support Apr24'!AT17</f>
        <v>25438.596491228069</v>
      </c>
      <c r="Z76" s="12">
        <f>+'Payroll DES Apr24'!AU18+'Payroll HW Apr24'!AU54+'Payroll Support Apr24'!AU17</f>
        <v>2942052.4541353383</v>
      </c>
    </row>
    <row r="77" spans="1:29" x14ac:dyDescent="0.25">
      <c r="A77" s="12"/>
      <c r="B77" s="12"/>
      <c r="C77" s="12"/>
      <c r="D77" s="36"/>
      <c r="E77" s="12"/>
      <c r="F77" s="12"/>
      <c r="G77" s="12">
        <f>+G69-G76</f>
        <v>0</v>
      </c>
      <c r="H77" s="12">
        <f>+H69-H76</f>
        <v>0</v>
      </c>
      <c r="I77" s="12"/>
      <c r="J77" s="12"/>
      <c r="K77" s="12"/>
      <c r="L77" s="12"/>
      <c r="M77" s="12">
        <f>+M69-M76</f>
        <v>0</v>
      </c>
      <c r="N77" s="12"/>
      <c r="O77" s="12"/>
      <c r="P77" s="12"/>
      <c r="Q77" s="12"/>
      <c r="R77" s="12">
        <f>+R69-R76</f>
        <v>0</v>
      </c>
      <c r="S77" s="12">
        <f t="shared" ref="S77:Z77" si="41">+S69-S76</f>
        <v>0</v>
      </c>
      <c r="T77" s="12">
        <f t="shared" si="41"/>
        <v>0</v>
      </c>
      <c r="U77" s="12">
        <f t="shared" si="41"/>
        <v>0</v>
      </c>
      <c r="V77" s="12">
        <f t="shared" si="41"/>
        <v>0</v>
      </c>
      <c r="W77" s="12">
        <f t="shared" si="41"/>
        <v>0</v>
      </c>
      <c r="X77" s="12"/>
      <c r="Y77" s="12">
        <f t="shared" si="41"/>
        <v>0</v>
      </c>
      <c r="Z77" s="12">
        <f t="shared" si="41"/>
        <v>0</v>
      </c>
      <c r="AA77" s="12"/>
      <c r="AB77" s="12"/>
      <c r="AC77" s="12"/>
    </row>
    <row r="78" spans="1:29" x14ac:dyDescent="0.25">
      <c r="A78" s="12"/>
      <c r="B78" s="12"/>
      <c r="C78" s="12"/>
      <c r="D78" s="36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</row>
    <row r="79" spans="1:29" x14ac:dyDescent="0.25">
      <c r="H79" s="15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>
        <v>2695623.52</v>
      </c>
      <c r="Y79" s="12"/>
      <c r="Z79" s="12"/>
    </row>
    <row r="80" spans="1:29" x14ac:dyDescent="0.25">
      <c r="K80" s="15"/>
      <c r="M80" s="12"/>
      <c r="N80" s="12"/>
      <c r="O80" s="12"/>
      <c r="P80" s="12"/>
      <c r="Q80" s="12"/>
      <c r="R80" s="12"/>
      <c r="S80" s="34"/>
      <c r="T80" s="34"/>
      <c r="U80" s="12"/>
      <c r="V80" s="12"/>
      <c r="W80" s="12"/>
      <c r="X80" s="12">
        <f>+X69-X79</f>
        <v>-25438.233784460928</v>
      </c>
      <c r="Y80" s="12"/>
      <c r="Z80" s="12"/>
    </row>
    <row r="81" spans="3:26" x14ac:dyDescent="0.25">
      <c r="R81" s="16"/>
      <c r="S81" s="35"/>
      <c r="T81" s="41"/>
      <c r="U81" s="41"/>
      <c r="V81" s="12"/>
      <c r="W81" s="12"/>
      <c r="X81" s="12"/>
      <c r="Y81" s="12"/>
    </row>
    <row r="82" spans="3:26" x14ac:dyDescent="0.25">
      <c r="R82" s="2"/>
      <c r="S82" s="35"/>
      <c r="T82" s="41"/>
      <c r="U82" s="41"/>
      <c r="V82" s="12"/>
      <c r="W82" s="12"/>
      <c r="X82" s="12"/>
      <c r="Y82" s="12"/>
    </row>
    <row r="83" spans="3:26" x14ac:dyDescent="0.25">
      <c r="S83" s="12"/>
      <c r="T83" s="12"/>
      <c r="U83" s="12"/>
      <c r="V83" s="12"/>
      <c r="W83" s="12"/>
      <c r="X83" s="12"/>
      <c r="Y83" s="12"/>
    </row>
    <row r="84" spans="3:26" x14ac:dyDescent="0.25">
      <c r="S84" s="12"/>
      <c r="T84" s="12"/>
      <c r="U84" s="12"/>
      <c r="V84" s="12"/>
      <c r="W84" s="12"/>
      <c r="X84" s="12"/>
      <c r="Y84" s="12"/>
    </row>
    <row r="85" spans="3:26" ht="14.4" x14ac:dyDescent="0.3">
      <c r="E85"/>
      <c r="F85"/>
      <c r="S85" s="3"/>
      <c r="T85" s="3"/>
      <c r="U85" s="3"/>
      <c r="V85" s="3"/>
      <c r="W85" s="3"/>
      <c r="X85" s="3"/>
      <c r="Z85" s="15"/>
    </row>
    <row r="86" spans="3:26" ht="14.4" x14ac:dyDescent="0.3">
      <c r="E86"/>
      <c r="F86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spans="3:26" ht="14.4" x14ac:dyDescent="0.3">
      <c r="C87"/>
      <c r="E87"/>
      <c r="F87"/>
      <c r="S87" s="42"/>
      <c r="T87" s="42"/>
      <c r="U87" s="42"/>
      <c r="V87" s="42"/>
      <c r="W87" s="42"/>
      <c r="X87" s="42"/>
      <c r="Y87" s="42"/>
      <c r="Z87" s="42"/>
    </row>
    <row r="88" spans="3:26" ht="14.4" x14ac:dyDescent="0.3">
      <c r="C88"/>
      <c r="E88"/>
      <c r="F88"/>
      <c r="S88" s="42"/>
      <c r="T88" s="42"/>
      <c r="U88" s="42"/>
      <c r="V88" s="42"/>
      <c r="W88" s="42"/>
      <c r="X88" s="42"/>
      <c r="Y88" s="42"/>
      <c r="Z88" s="42"/>
    </row>
    <row r="89" spans="3:26" ht="14.4" x14ac:dyDescent="0.3">
      <c r="C89"/>
      <c r="E89"/>
      <c r="F89"/>
    </row>
    <row r="90" spans="3:26" ht="14.4" x14ac:dyDescent="0.3">
      <c r="C90"/>
      <c r="E90"/>
      <c r="F90"/>
    </row>
    <row r="91" spans="3:26" ht="14.4" x14ac:dyDescent="0.3">
      <c r="C91"/>
      <c r="E91"/>
      <c r="F91"/>
    </row>
    <row r="92" spans="3:26" ht="14.4" x14ac:dyDescent="0.3">
      <c r="C92"/>
      <c r="E92"/>
      <c r="F92"/>
    </row>
    <row r="93" spans="3:26" ht="14.4" x14ac:dyDescent="0.3">
      <c r="C93"/>
      <c r="E93"/>
      <c r="F93"/>
    </row>
    <row r="94" spans="3:26" ht="14.4" x14ac:dyDescent="0.3">
      <c r="C94"/>
      <c r="E94"/>
      <c r="F94"/>
    </row>
    <row r="95" spans="3:26" ht="14.4" x14ac:dyDescent="0.3">
      <c r="C95"/>
      <c r="E95"/>
      <c r="F95"/>
    </row>
    <row r="96" spans="3:26" ht="14.4" x14ac:dyDescent="0.3">
      <c r="C96"/>
      <c r="E96"/>
      <c r="F96"/>
    </row>
    <row r="97" spans="3:6" ht="14.4" x14ac:dyDescent="0.3">
      <c r="C97"/>
      <c r="E97"/>
      <c r="F97"/>
    </row>
    <row r="98" spans="3:6" ht="14.4" x14ac:dyDescent="0.3">
      <c r="C98"/>
      <c r="E98"/>
      <c r="F98"/>
    </row>
    <row r="99" spans="3:6" ht="14.4" x14ac:dyDescent="0.3">
      <c r="C99"/>
      <c r="E99"/>
      <c r="F99"/>
    </row>
    <row r="100" spans="3:6" ht="14.4" x14ac:dyDescent="0.3">
      <c r="C100"/>
      <c r="E100"/>
      <c r="F100"/>
    </row>
    <row r="101" spans="3:6" ht="14.4" x14ac:dyDescent="0.3">
      <c r="C101"/>
      <c r="E101"/>
      <c r="F101"/>
    </row>
    <row r="102" spans="3:6" ht="14.4" x14ac:dyDescent="0.3">
      <c r="C102"/>
      <c r="E102"/>
      <c r="F102"/>
    </row>
    <row r="103" spans="3:6" ht="14.4" x14ac:dyDescent="0.3">
      <c r="C103"/>
      <c r="E103"/>
      <c r="F103"/>
    </row>
    <row r="104" spans="3:6" ht="14.4" x14ac:dyDescent="0.3">
      <c r="C104"/>
      <c r="E104"/>
      <c r="F104"/>
    </row>
    <row r="105" spans="3:6" ht="14.4" x14ac:dyDescent="0.3">
      <c r="C105"/>
      <c r="E105"/>
      <c r="F105"/>
    </row>
    <row r="106" spans="3:6" ht="14.4" x14ac:dyDescent="0.3">
      <c r="C106"/>
      <c r="E106"/>
      <c r="F106"/>
    </row>
    <row r="107" spans="3:6" ht="14.4" x14ac:dyDescent="0.3">
      <c r="C107"/>
      <c r="E107"/>
      <c r="F107"/>
    </row>
    <row r="108" spans="3:6" ht="14.4" x14ac:dyDescent="0.3">
      <c r="C108"/>
      <c r="E108"/>
      <c r="F108"/>
    </row>
    <row r="109" spans="3:6" ht="14.4" x14ac:dyDescent="0.3">
      <c r="C109"/>
      <c r="E109"/>
      <c r="F109"/>
    </row>
    <row r="110" spans="3:6" ht="14.4" x14ac:dyDescent="0.3">
      <c r="C110"/>
      <c r="E110"/>
      <c r="F110"/>
    </row>
    <row r="111" spans="3:6" ht="14.4" x14ac:dyDescent="0.3">
      <c r="C111"/>
      <c r="E111"/>
      <c r="F111"/>
    </row>
    <row r="112" spans="3:6" ht="14.4" x14ac:dyDescent="0.3">
      <c r="C112"/>
      <c r="E112"/>
      <c r="F112"/>
    </row>
    <row r="113" spans="3:6" ht="14.4" x14ac:dyDescent="0.3">
      <c r="C113"/>
      <c r="E113"/>
      <c r="F113"/>
    </row>
    <row r="114" spans="3:6" ht="14.4" x14ac:dyDescent="0.3">
      <c r="C114"/>
      <c r="E114"/>
      <c r="F114"/>
    </row>
    <row r="115" spans="3:6" ht="14.4" x14ac:dyDescent="0.3">
      <c r="C115"/>
      <c r="E115"/>
      <c r="F115"/>
    </row>
    <row r="116" spans="3:6" ht="14.4" x14ac:dyDescent="0.3">
      <c r="C116"/>
      <c r="E116"/>
      <c r="F116"/>
    </row>
    <row r="117" spans="3:6" ht="14.4" x14ac:dyDescent="0.3">
      <c r="C117"/>
      <c r="E117"/>
      <c r="F117"/>
    </row>
    <row r="118" spans="3:6" ht="14.4" x14ac:dyDescent="0.3">
      <c r="C118"/>
      <c r="E118"/>
      <c r="F118"/>
    </row>
    <row r="119" spans="3:6" ht="14.4" x14ac:dyDescent="0.3">
      <c r="C119"/>
      <c r="E119"/>
      <c r="F119"/>
    </row>
  </sheetData>
  <mergeCells count="1">
    <mergeCell ref="B3:C3"/>
  </mergeCells>
  <pageMargins left="0.25" right="0.25" top="0.75" bottom="0.75" header="0.3" footer="0.3"/>
  <pageSetup scale="54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85542-542D-4592-BDC0-8BE87AD5CB25}">
  <sheetPr codeName="Sheet12"/>
  <dimension ref="A1:AT45"/>
  <sheetViews>
    <sheetView zoomScale="70" zoomScaleNormal="70" workbookViewId="0">
      <pane xSplit="3" ySplit="4" topLeftCell="AF23" activePane="bottomRight" state="frozen"/>
      <selection activeCell="R23" sqref="R23"/>
      <selection pane="topRight" activeCell="R23" sqref="R23"/>
      <selection pane="bottomLeft" activeCell="R23" sqref="R23"/>
      <selection pane="bottomRight" activeCell="AL35" sqref="AL35"/>
    </sheetView>
  </sheetViews>
  <sheetFormatPr defaultColWidth="8.88671875" defaultRowHeight="15.6" x14ac:dyDescent="0.3"/>
  <cols>
    <col min="1" max="1" width="20.6640625" style="29" customWidth="1"/>
    <col min="2" max="2" width="18.6640625" style="29" customWidth="1"/>
    <col min="3" max="3" width="13.88671875" style="29" bestFit="1" customWidth="1"/>
    <col min="4" max="4" width="12.109375" style="29" bestFit="1" customWidth="1"/>
    <col min="5" max="19" width="14.5546875" style="29" bestFit="1" customWidth="1"/>
    <col min="20" max="44" width="13.5546875" style="29" customWidth="1"/>
    <col min="45" max="45" width="16.88671875" style="29" bestFit="1" customWidth="1"/>
    <col min="46" max="46" width="14.88671875" style="29" bestFit="1" customWidth="1"/>
    <col min="47" max="16384" width="8.88671875" style="18"/>
  </cols>
  <sheetData>
    <row r="1" spans="1:46" ht="15.75" customHeight="1" x14ac:dyDescent="0.3">
      <c r="A1" s="762" t="s">
        <v>122</v>
      </c>
      <c r="B1" s="762"/>
      <c r="C1" s="762"/>
      <c r="D1" s="762"/>
      <c r="E1" s="762"/>
      <c r="F1" s="762"/>
      <c r="G1" s="762"/>
      <c r="H1" s="762"/>
      <c r="I1" s="762"/>
      <c r="J1" s="762"/>
      <c r="K1" s="762"/>
      <c r="L1" s="762"/>
      <c r="M1" s="762"/>
      <c r="N1" s="762"/>
      <c r="O1" s="762"/>
      <c r="P1" s="762"/>
      <c r="Q1" s="762"/>
      <c r="R1" s="762"/>
      <c r="S1" s="762"/>
      <c r="T1" s="762"/>
      <c r="U1" s="762"/>
      <c r="V1" s="762"/>
      <c r="W1" s="762"/>
      <c r="X1" s="762"/>
      <c r="Y1" s="762"/>
      <c r="Z1" s="762"/>
      <c r="AA1" s="762"/>
      <c r="AB1" s="762"/>
      <c r="AC1" s="762"/>
      <c r="AD1" s="762"/>
      <c r="AE1" s="762"/>
      <c r="AF1" s="762"/>
      <c r="AG1" s="762"/>
      <c r="AH1" s="762"/>
      <c r="AI1" s="762"/>
      <c r="AJ1" s="762"/>
      <c r="AK1" s="762"/>
      <c r="AL1" s="762"/>
      <c r="AM1" s="762"/>
      <c r="AN1" s="762"/>
      <c r="AO1" s="762"/>
      <c r="AP1" s="762"/>
      <c r="AQ1" s="762"/>
      <c r="AR1" s="762"/>
      <c r="AS1" s="762"/>
      <c r="AT1" s="762"/>
    </row>
    <row r="2" spans="1:46" ht="15.75" customHeight="1" x14ac:dyDescent="0.3">
      <c r="A2" s="762"/>
      <c r="B2" s="762"/>
      <c r="C2" s="762"/>
      <c r="D2" s="762"/>
      <c r="E2" s="762"/>
      <c r="F2" s="762"/>
      <c r="G2" s="762"/>
      <c r="H2" s="762"/>
      <c r="I2" s="762"/>
      <c r="J2" s="762"/>
      <c r="K2" s="762"/>
      <c r="L2" s="762"/>
      <c r="M2" s="762"/>
      <c r="N2" s="762"/>
      <c r="O2" s="762"/>
      <c r="P2" s="762"/>
      <c r="Q2" s="762"/>
      <c r="R2" s="762"/>
      <c r="S2" s="762"/>
      <c r="T2" s="762"/>
      <c r="U2" s="762"/>
      <c r="V2" s="762"/>
      <c r="W2" s="762"/>
      <c r="X2" s="762"/>
      <c r="Y2" s="762"/>
      <c r="Z2" s="762"/>
      <c r="AA2" s="762"/>
      <c r="AB2" s="762"/>
      <c r="AC2" s="762"/>
      <c r="AD2" s="762"/>
      <c r="AE2" s="762"/>
      <c r="AF2" s="762"/>
      <c r="AG2" s="762"/>
      <c r="AH2" s="762"/>
      <c r="AI2" s="762"/>
      <c r="AJ2" s="762"/>
      <c r="AK2" s="762"/>
      <c r="AL2" s="762"/>
      <c r="AM2" s="762"/>
      <c r="AN2" s="762"/>
      <c r="AO2" s="762"/>
      <c r="AP2" s="762"/>
      <c r="AQ2" s="762"/>
      <c r="AR2" s="762"/>
      <c r="AS2" s="762"/>
      <c r="AT2" s="762"/>
    </row>
    <row r="3" spans="1:46" s="22" customFormat="1" ht="35.1" customHeight="1" x14ac:dyDescent="0.35">
      <c r="A3" s="19" t="s">
        <v>123</v>
      </c>
      <c r="B3" s="19" t="s">
        <v>124</v>
      </c>
      <c r="C3" s="20" t="s">
        <v>125</v>
      </c>
      <c r="D3" s="21">
        <v>42705</v>
      </c>
      <c r="E3" s="21">
        <v>42736</v>
      </c>
      <c r="F3" s="21">
        <v>42767</v>
      </c>
      <c r="G3" s="21">
        <v>42795</v>
      </c>
      <c r="H3" s="21">
        <v>42826</v>
      </c>
      <c r="I3" s="21">
        <v>42856</v>
      </c>
      <c r="J3" s="21">
        <v>42887</v>
      </c>
      <c r="K3" s="21">
        <v>42917</v>
      </c>
      <c r="L3" s="21">
        <v>42948</v>
      </c>
      <c r="M3" s="21">
        <v>42979</v>
      </c>
      <c r="N3" s="21">
        <v>43009</v>
      </c>
      <c r="O3" s="21">
        <v>43040</v>
      </c>
      <c r="P3" s="21">
        <v>43070</v>
      </c>
      <c r="Q3" s="21">
        <v>43101</v>
      </c>
      <c r="R3" s="21">
        <v>43132</v>
      </c>
      <c r="S3" s="21">
        <v>43160</v>
      </c>
      <c r="T3" s="21">
        <v>43191</v>
      </c>
      <c r="U3" s="21">
        <v>43221</v>
      </c>
      <c r="V3" s="21">
        <v>43252</v>
      </c>
      <c r="W3" s="21">
        <v>43282</v>
      </c>
      <c r="X3" s="21">
        <v>43313</v>
      </c>
      <c r="Y3" s="21">
        <v>43344</v>
      </c>
      <c r="Z3" s="21">
        <v>43374</v>
      </c>
      <c r="AA3" s="21">
        <v>43405</v>
      </c>
      <c r="AB3" s="21">
        <v>43435</v>
      </c>
      <c r="AC3" s="21">
        <v>43465</v>
      </c>
      <c r="AD3" s="21">
        <v>43496</v>
      </c>
      <c r="AE3" s="21">
        <v>43524</v>
      </c>
      <c r="AF3" s="21">
        <v>43555</v>
      </c>
      <c r="AG3" s="21">
        <v>43585</v>
      </c>
      <c r="AH3" s="21">
        <v>43616</v>
      </c>
      <c r="AI3" s="21">
        <v>43646</v>
      </c>
      <c r="AJ3" s="21">
        <v>43677</v>
      </c>
      <c r="AK3" s="21">
        <v>43708</v>
      </c>
      <c r="AL3" s="21">
        <v>43768</v>
      </c>
      <c r="AM3" s="21">
        <v>43798</v>
      </c>
      <c r="AN3" s="21">
        <v>43829</v>
      </c>
      <c r="AO3" s="21">
        <v>43860</v>
      </c>
      <c r="AP3" s="21">
        <v>43889</v>
      </c>
      <c r="AQ3" s="21">
        <v>43920</v>
      </c>
      <c r="AR3" s="21">
        <v>43950</v>
      </c>
      <c r="AS3" s="21" t="s">
        <v>126</v>
      </c>
      <c r="AT3" s="21" t="s">
        <v>127</v>
      </c>
    </row>
    <row r="4" spans="1:46" s="22" customFormat="1" ht="15" customHeight="1" x14ac:dyDescent="0.35">
      <c r="A4" s="19"/>
      <c r="B4" s="19"/>
      <c r="C4" s="20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</row>
    <row r="5" spans="1:46" s="27" customFormat="1" ht="24.9" customHeight="1" x14ac:dyDescent="0.35">
      <c r="A5" s="23" t="s">
        <v>43</v>
      </c>
      <c r="B5" s="33">
        <v>20000</v>
      </c>
      <c r="C5" s="25">
        <v>42593</v>
      </c>
      <c r="D5" s="261">
        <v>5000</v>
      </c>
      <c r="E5" s="261">
        <v>5000</v>
      </c>
      <c r="F5" s="261">
        <v>5000</v>
      </c>
      <c r="G5" s="261">
        <v>5000</v>
      </c>
      <c r="H5" s="261" t="s">
        <v>53</v>
      </c>
      <c r="I5" s="261" t="s">
        <v>53</v>
      </c>
      <c r="J5" s="261" t="s">
        <v>53</v>
      </c>
      <c r="K5" s="261" t="s">
        <v>53</v>
      </c>
      <c r="L5" s="261" t="s">
        <v>53</v>
      </c>
      <c r="M5" s="261" t="s">
        <v>53</v>
      </c>
      <c r="N5" s="261" t="s">
        <v>53</v>
      </c>
      <c r="O5" s="261" t="s">
        <v>53</v>
      </c>
      <c r="P5" s="261" t="s">
        <v>53</v>
      </c>
      <c r="Q5" s="261"/>
      <c r="R5" s="261"/>
      <c r="S5" s="261"/>
      <c r="T5" s="261"/>
      <c r="U5" s="261"/>
      <c r="V5" s="261"/>
      <c r="W5" s="261"/>
      <c r="X5" s="261"/>
      <c r="Y5" s="261"/>
      <c r="Z5" s="261"/>
      <c r="AA5" s="261"/>
      <c r="AB5" s="261"/>
      <c r="AC5" s="261"/>
      <c r="AD5" s="261"/>
      <c r="AE5" s="261"/>
      <c r="AF5" s="261"/>
      <c r="AG5" s="261"/>
      <c r="AH5" s="261"/>
      <c r="AI5" s="261"/>
      <c r="AJ5" s="261"/>
      <c r="AK5" s="261"/>
      <c r="AL5" s="261"/>
      <c r="AM5" s="261"/>
      <c r="AN5" s="261"/>
      <c r="AO5" s="261"/>
      <c r="AP5" s="261"/>
      <c r="AQ5" s="261"/>
      <c r="AR5" s="261"/>
      <c r="AS5" s="26">
        <f t="shared" ref="AS5:AS26" si="0">SUM(D5:AR5)</f>
        <v>20000</v>
      </c>
      <c r="AT5" s="261">
        <f t="shared" ref="AT5:AT33" si="1">B5-AS5</f>
        <v>0</v>
      </c>
    </row>
    <row r="6" spans="1:46" s="27" customFormat="1" ht="24.9" customHeight="1" x14ac:dyDescent="0.35">
      <c r="A6" s="23" t="s">
        <v>128</v>
      </c>
      <c r="B6" s="33">
        <v>100000</v>
      </c>
      <c r="C6" s="25" t="s">
        <v>71</v>
      </c>
      <c r="D6" s="261" t="s">
        <v>53</v>
      </c>
      <c r="E6" s="261" t="s">
        <v>53</v>
      </c>
      <c r="F6" s="261">
        <v>45000</v>
      </c>
      <c r="G6" s="261">
        <v>55000</v>
      </c>
      <c r="H6" s="261" t="s">
        <v>53</v>
      </c>
      <c r="I6" s="261" t="s">
        <v>53</v>
      </c>
      <c r="J6" s="261" t="s">
        <v>53</v>
      </c>
      <c r="K6" s="261" t="s">
        <v>53</v>
      </c>
      <c r="L6" s="261" t="s">
        <v>53</v>
      </c>
      <c r="M6" s="261" t="s">
        <v>53</v>
      </c>
      <c r="N6" s="261" t="s">
        <v>53</v>
      </c>
      <c r="O6" s="261" t="s">
        <v>53</v>
      </c>
      <c r="P6" s="261" t="s">
        <v>53</v>
      </c>
      <c r="Q6" s="261"/>
      <c r="R6" s="261"/>
      <c r="S6" s="261"/>
      <c r="T6" s="261"/>
      <c r="U6" s="261"/>
      <c r="V6" s="261"/>
      <c r="W6" s="261"/>
      <c r="X6" s="261"/>
      <c r="Y6" s="261"/>
      <c r="Z6" s="261"/>
      <c r="AA6" s="261"/>
      <c r="AB6" s="261"/>
      <c r="AC6" s="261"/>
      <c r="AD6" s="261"/>
      <c r="AE6" s="261"/>
      <c r="AF6" s="261"/>
      <c r="AG6" s="261"/>
      <c r="AH6" s="261"/>
      <c r="AI6" s="261"/>
      <c r="AJ6" s="261"/>
      <c r="AK6" s="261"/>
      <c r="AL6" s="261"/>
      <c r="AM6" s="261"/>
      <c r="AN6" s="261"/>
      <c r="AO6" s="261"/>
      <c r="AP6" s="261"/>
      <c r="AQ6" s="261"/>
      <c r="AR6" s="261"/>
      <c r="AS6" s="26">
        <f t="shared" si="0"/>
        <v>100000</v>
      </c>
      <c r="AT6" s="261">
        <f t="shared" si="1"/>
        <v>0</v>
      </c>
    </row>
    <row r="7" spans="1:46" s="27" customFormat="1" ht="24.9" customHeight="1" x14ac:dyDescent="0.35">
      <c r="A7" s="23" t="s">
        <v>129</v>
      </c>
      <c r="B7" s="33">
        <v>37619</v>
      </c>
      <c r="C7" s="24" t="s">
        <v>130</v>
      </c>
      <c r="D7" s="261" t="s">
        <v>53</v>
      </c>
      <c r="E7" s="261" t="s">
        <v>53</v>
      </c>
      <c r="F7" s="261">
        <v>12540</v>
      </c>
      <c r="G7" s="261">
        <v>12540</v>
      </c>
      <c r="H7" s="263">
        <v>12540</v>
      </c>
      <c r="I7" s="261" t="s">
        <v>53</v>
      </c>
      <c r="J7" s="261" t="s">
        <v>53</v>
      </c>
      <c r="K7" s="261" t="s">
        <v>53</v>
      </c>
      <c r="L7" s="261" t="s">
        <v>53</v>
      </c>
      <c r="M7" s="261" t="s">
        <v>53</v>
      </c>
      <c r="N7" s="261" t="s">
        <v>53</v>
      </c>
      <c r="O7" s="261" t="s">
        <v>53</v>
      </c>
      <c r="P7" s="261" t="s">
        <v>53</v>
      </c>
      <c r="Q7" s="261"/>
      <c r="R7" s="261"/>
      <c r="S7" s="261"/>
      <c r="T7" s="261"/>
      <c r="U7" s="261"/>
      <c r="V7" s="261"/>
      <c r="W7" s="261"/>
      <c r="X7" s="261"/>
      <c r="Y7" s="261"/>
      <c r="Z7" s="261"/>
      <c r="AA7" s="261"/>
      <c r="AB7" s="261"/>
      <c r="AC7" s="261"/>
      <c r="AD7" s="261"/>
      <c r="AE7" s="261"/>
      <c r="AF7" s="261"/>
      <c r="AG7" s="261"/>
      <c r="AH7" s="261"/>
      <c r="AI7" s="261"/>
      <c r="AJ7" s="261"/>
      <c r="AK7" s="261"/>
      <c r="AL7" s="261"/>
      <c r="AM7" s="261"/>
      <c r="AN7" s="261"/>
      <c r="AO7" s="261"/>
      <c r="AP7" s="261"/>
      <c r="AQ7" s="261"/>
      <c r="AR7" s="261"/>
      <c r="AS7" s="26">
        <f t="shared" si="0"/>
        <v>37620</v>
      </c>
      <c r="AT7" s="261">
        <f t="shared" si="1"/>
        <v>-1</v>
      </c>
    </row>
    <row r="8" spans="1:46" s="27" customFormat="1" ht="24.9" customHeight="1" x14ac:dyDescent="0.35">
      <c r="A8" s="23" t="s">
        <v>131</v>
      </c>
      <c r="B8" s="33">
        <v>22619</v>
      </c>
      <c r="C8" s="24" t="s">
        <v>130</v>
      </c>
      <c r="D8" s="261" t="s">
        <v>53</v>
      </c>
      <c r="E8" s="261" t="s">
        <v>53</v>
      </c>
      <c r="F8" s="261">
        <v>7540</v>
      </c>
      <c r="G8" s="261">
        <v>7540</v>
      </c>
      <c r="H8" s="263">
        <v>7540</v>
      </c>
      <c r="I8" s="261" t="s">
        <v>53</v>
      </c>
      <c r="J8" s="261" t="s">
        <v>53</v>
      </c>
      <c r="K8" s="261" t="s">
        <v>53</v>
      </c>
      <c r="L8" s="261" t="s">
        <v>53</v>
      </c>
      <c r="M8" s="261" t="s">
        <v>53</v>
      </c>
      <c r="N8" s="261" t="s">
        <v>53</v>
      </c>
      <c r="O8" s="261" t="s">
        <v>53</v>
      </c>
      <c r="P8" s="261" t="s">
        <v>53</v>
      </c>
      <c r="Q8" s="261"/>
      <c r="R8" s="261"/>
      <c r="S8" s="261"/>
      <c r="T8" s="261"/>
      <c r="U8" s="261"/>
      <c r="V8" s="261"/>
      <c r="W8" s="261"/>
      <c r="X8" s="261"/>
      <c r="Y8" s="261"/>
      <c r="Z8" s="261"/>
      <c r="AA8" s="261"/>
      <c r="AB8" s="261"/>
      <c r="AC8" s="261"/>
      <c r="AD8" s="261"/>
      <c r="AE8" s="261"/>
      <c r="AF8" s="261"/>
      <c r="AG8" s="261"/>
      <c r="AH8" s="261"/>
      <c r="AI8" s="261"/>
      <c r="AJ8" s="261"/>
      <c r="AK8" s="261"/>
      <c r="AL8" s="261"/>
      <c r="AM8" s="261"/>
      <c r="AN8" s="261"/>
      <c r="AO8" s="261"/>
      <c r="AP8" s="261"/>
      <c r="AQ8" s="261"/>
      <c r="AR8" s="261"/>
      <c r="AS8" s="26">
        <f t="shared" si="0"/>
        <v>22620</v>
      </c>
      <c r="AT8" s="261">
        <f t="shared" si="1"/>
        <v>-1</v>
      </c>
    </row>
    <row r="9" spans="1:46" s="27" customFormat="1" ht="24.9" customHeight="1" x14ac:dyDescent="0.35">
      <c r="A9" s="23" t="s">
        <v>132</v>
      </c>
      <c r="B9" s="33">
        <v>33810</v>
      </c>
      <c r="C9" s="24" t="s">
        <v>130</v>
      </c>
      <c r="D9" s="261" t="s">
        <v>53</v>
      </c>
      <c r="E9" s="261" t="s">
        <v>53</v>
      </c>
      <c r="F9" s="261">
        <v>11270</v>
      </c>
      <c r="G9" s="261">
        <v>11270</v>
      </c>
      <c r="H9" s="261">
        <v>11270</v>
      </c>
      <c r="I9" s="261" t="s">
        <v>53</v>
      </c>
      <c r="J9" s="261" t="s">
        <v>53</v>
      </c>
      <c r="K9" s="261" t="s">
        <v>53</v>
      </c>
      <c r="L9" s="261" t="s">
        <v>53</v>
      </c>
      <c r="M9" s="261" t="s">
        <v>53</v>
      </c>
      <c r="N9" s="261" t="s">
        <v>53</v>
      </c>
      <c r="O9" s="261" t="s">
        <v>53</v>
      </c>
      <c r="P9" s="261" t="s">
        <v>53</v>
      </c>
      <c r="Q9" s="261"/>
      <c r="R9" s="261"/>
      <c r="S9" s="261"/>
      <c r="T9" s="261"/>
      <c r="U9" s="261"/>
      <c r="V9" s="261"/>
      <c r="W9" s="261"/>
      <c r="X9" s="261"/>
      <c r="Y9" s="261"/>
      <c r="Z9" s="261"/>
      <c r="AA9" s="261"/>
      <c r="AB9" s="261"/>
      <c r="AC9" s="261"/>
      <c r="AD9" s="261"/>
      <c r="AE9" s="261"/>
      <c r="AF9" s="261"/>
      <c r="AG9" s="261"/>
      <c r="AH9" s="261"/>
      <c r="AI9" s="261"/>
      <c r="AJ9" s="261"/>
      <c r="AK9" s="261"/>
      <c r="AL9" s="261"/>
      <c r="AM9" s="261"/>
      <c r="AN9" s="261"/>
      <c r="AO9" s="261"/>
      <c r="AP9" s="261"/>
      <c r="AQ9" s="261"/>
      <c r="AR9" s="261"/>
      <c r="AS9" s="26">
        <f t="shared" si="0"/>
        <v>33810</v>
      </c>
      <c r="AT9" s="261">
        <f t="shared" si="1"/>
        <v>0</v>
      </c>
    </row>
    <row r="10" spans="1:46" s="27" customFormat="1" ht="24.9" customHeight="1" x14ac:dyDescent="0.35">
      <c r="A10" s="23" t="s">
        <v>82</v>
      </c>
      <c r="B10" s="33">
        <v>50000</v>
      </c>
      <c r="C10" s="24" t="s">
        <v>133</v>
      </c>
      <c r="D10" s="261" t="s">
        <v>53</v>
      </c>
      <c r="E10" s="261">
        <v>5000</v>
      </c>
      <c r="F10" s="261">
        <v>5000</v>
      </c>
      <c r="G10" s="261">
        <v>5000</v>
      </c>
      <c r="H10" s="261">
        <v>5000</v>
      </c>
      <c r="I10" s="261">
        <v>5000</v>
      </c>
      <c r="J10" s="261">
        <v>5000</v>
      </c>
      <c r="K10" s="261">
        <v>5000</v>
      </c>
      <c r="L10" s="261">
        <v>0</v>
      </c>
      <c r="M10" s="261">
        <f>5000+10000</f>
        <v>15000</v>
      </c>
      <c r="N10" s="261"/>
      <c r="O10" s="261"/>
      <c r="P10" s="261"/>
      <c r="Q10" s="261"/>
      <c r="R10" s="261"/>
      <c r="S10" s="261"/>
      <c r="T10" s="261"/>
      <c r="U10" s="261"/>
      <c r="V10" s="261"/>
      <c r="W10" s="261"/>
      <c r="X10" s="261"/>
      <c r="Y10" s="261"/>
      <c r="Z10" s="261"/>
      <c r="AA10" s="261"/>
      <c r="AB10" s="261"/>
      <c r="AC10" s="261"/>
      <c r="AD10" s="261"/>
      <c r="AE10" s="261"/>
      <c r="AF10" s="261"/>
      <c r="AG10" s="261"/>
      <c r="AH10" s="261"/>
      <c r="AI10" s="261"/>
      <c r="AJ10" s="261"/>
      <c r="AK10" s="261"/>
      <c r="AL10" s="261"/>
      <c r="AM10" s="261"/>
      <c r="AN10" s="261"/>
      <c r="AO10" s="261"/>
      <c r="AP10" s="261"/>
      <c r="AQ10" s="261"/>
      <c r="AR10" s="261"/>
      <c r="AS10" s="26">
        <f t="shared" si="0"/>
        <v>50000</v>
      </c>
      <c r="AT10" s="261">
        <f t="shared" si="1"/>
        <v>0</v>
      </c>
    </row>
    <row r="11" spans="1:46" s="27" customFormat="1" ht="24.9" customHeight="1" x14ac:dyDescent="0.35">
      <c r="A11" s="23" t="s">
        <v>128</v>
      </c>
      <c r="B11" s="33">
        <v>50000</v>
      </c>
      <c r="C11" s="24" t="s">
        <v>79</v>
      </c>
      <c r="D11" s="261" t="s">
        <v>53</v>
      </c>
      <c r="E11" s="261" t="s">
        <v>53</v>
      </c>
      <c r="F11" s="261" t="s">
        <v>53</v>
      </c>
      <c r="G11" s="261" t="s">
        <v>53</v>
      </c>
      <c r="H11" s="261" t="s">
        <v>53</v>
      </c>
      <c r="I11" s="261" t="s">
        <v>53</v>
      </c>
      <c r="J11" s="261">
        <v>10000</v>
      </c>
      <c r="K11" s="261">
        <v>10000</v>
      </c>
      <c r="L11" s="261">
        <v>10000</v>
      </c>
      <c r="M11" s="261">
        <v>10000</v>
      </c>
      <c r="N11" s="261">
        <v>10000</v>
      </c>
      <c r="O11" s="261"/>
      <c r="P11" s="261"/>
      <c r="Q11" s="261"/>
      <c r="R11" s="261"/>
      <c r="S11" s="261"/>
      <c r="T11" s="261"/>
      <c r="U11" s="261"/>
      <c r="V11" s="261"/>
      <c r="W11" s="261"/>
      <c r="X11" s="261"/>
      <c r="Y11" s="261"/>
      <c r="Z11" s="261"/>
      <c r="AA11" s="261"/>
      <c r="AB11" s="261"/>
      <c r="AC11" s="261"/>
      <c r="AD11" s="261"/>
      <c r="AE11" s="261"/>
      <c r="AF11" s="261"/>
      <c r="AG11" s="261"/>
      <c r="AH11" s="261"/>
      <c r="AI11" s="261"/>
      <c r="AJ11" s="261"/>
      <c r="AK11" s="261"/>
      <c r="AL11" s="261"/>
      <c r="AM11" s="261"/>
      <c r="AN11" s="261"/>
      <c r="AO11" s="261"/>
      <c r="AP11" s="261"/>
      <c r="AQ11" s="261"/>
      <c r="AR11" s="261"/>
      <c r="AS11" s="26">
        <f t="shared" si="0"/>
        <v>50000</v>
      </c>
      <c r="AT11" s="262">
        <f t="shared" si="1"/>
        <v>0</v>
      </c>
    </row>
    <row r="12" spans="1:46" s="27" customFormat="1" ht="24.9" customHeight="1" x14ac:dyDescent="0.35">
      <c r="A12" s="23" t="s">
        <v>138</v>
      </c>
      <c r="B12" s="33">
        <v>10000</v>
      </c>
      <c r="C12" s="28" t="s">
        <v>139</v>
      </c>
      <c r="D12" s="261" t="s">
        <v>53</v>
      </c>
      <c r="E12" s="261" t="s">
        <v>53</v>
      </c>
      <c r="F12" s="261" t="s">
        <v>53</v>
      </c>
      <c r="G12" s="261" t="s">
        <v>53</v>
      </c>
      <c r="H12" s="261" t="s">
        <v>53</v>
      </c>
      <c r="I12" s="261" t="s">
        <v>53</v>
      </c>
      <c r="J12" s="261" t="s">
        <v>53</v>
      </c>
      <c r="K12" s="261">
        <v>2000</v>
      </c>
      <c r="L12" s="261">
        <v>2000</v>
      </c>
      <c r="M12" s="261">
        <v>2000</v>
      </c>
      <c r="N12" s="261">
        <v>2000</v>
      </c>
      <c r="O12" s="261">
        <v>2000</v>
      </c>
      <c r="P12" s="261"/>
      <c r="Q12" s="261"/>
      <c r="R12" s="261"/>
      <c r="S12" s="261"/>
      <c r="T12" s="261"/>
      <c r="U12" s="261"/>
      <c r="V12" s="261"/>
      <c r="W12" s="261"/>
      <c r="X12" s="261"/>
      <c r="Y12" s="261"/>
      <c r="Z12" s="261"/>
      <c r="AA12" s="261"/>
      <c r="AB12" s="261"/>
      <c r="AC12" s="261"/>
      <c r="AD12" s="261"/>
      <c r="AE12" s="261"/>
      <c r="AF12" s="261"/>
      <c r="AG12" s="261"/>
      <c r="AH12" s="261"/>
      <c r="AI12" s="261"/>
      <c r="AJ12" s="261"/>
      <c r="AK12" s="261"/>
      <c r="AL12" s="261"/>
      <c r="AM12" s="261"/>
      <c r="AN12" s="261"/>
      <c r="AO12" s="261"/>
      <c r="AP12" s="261"/>
      <c r="AQ12" s="261"/>
      <c r="AR12" s="261"/>
      <c r="AS12" s="26">
        <f t="shared" si="0"/>
        <v>10000</v>
      </c>
      <c r="AT12" s="261">
        <f t="shared" si="1"/>
        <v>0</v>
      </c>
    </row>
    <row r="13" spans="1:46" s="27" customFormat="1" ht="24.9" customHeight="1" x14ac:dyDescent="0.35">
      <c r="A13" s="23" t="s">
        <v>42</v>
      </c>
      <c r="B13" s="33">
        <v>25000</v>
      </c>
      <c r="C13" s="28" t="s">
        <v>140</v>
      </c>
      <c r="D13" s="261" t="s">
        <v>53</v>
      </c>
      <c r="E13" s="261" t="s">
        <v>53</v>
      </c>
      <c r="F13" s="261" t="s">
        <v>53</v>
      </c>
      <c r="G13" s="261" t="s">
        <v>53</v>
      </c>
      <c r="H13" s="261" t="s">
        <v>53</v>
      </c>
      <c r="I13" s="261" t="s">
        <v>53</v>
      </c>
      <c r="J13" s="261" t="s">
        <v>53</v>
      </c>
      <c r="K13" s="261">
        <v>12500</v>
      </c>
      <c r="L13" s="261">
        <v>12500</v>
      </c>
      <c r="M13" s="261" t="s">
        <v>53</v>
      </c>
      <c r="N13" s="261">
        <v>0</v>
      </c>
      <c r="O13" s="261"/>
      <c r="P13" s="261"/>
      <c r="Q13" s="261"/>
      <c r="R13" s="261"/>
      <c r="S13" s="261"/>
      <c r="T13" s="261"/>
      <c r="U13" s="261"/>
      <c r="V13" s="261"/>
      <c r="W13" s="261"/>
      <c r="X13" s="261"/>
      <c r="Y13" s="261"/>
      <c r="Z13" s="261"/>
      <c r="AA13" s="261"/>
      <c r="AB13" s="261"/>
      <c r="AC13" s="261"/>
      <c r="AD13" s="261"/>
      <c r="AE13" s="261"/>
      <c r="AF13" s="261"/>
      <c r="AG13" s="261"/>
      <c r="AH13" s="261"/>
      <c r="AI13" s="261"/>
      <c r="AJ13" s="261"/>
      <c r="AK13" s="261"/>
      <c r="AL13" s="261"/>
      <c r="AM13" s="261"/>
      <c r="AN13" s="261"/>
      <c r="AO13" s="261"/>
      <c r="AP13" s="261"/>
      <c r="AQ13" s="261"/>
      <c r="AR13" s="261"/>
      <c r="AS13" s="26">
        <f t="shared" si="0"/>
        <v>25000</v>
      </c>
      <c r="AT13" s="261">
        <f t="shared" si="1"/>
        <v>0</v>
      </c>
    </row>
    <row r="14" spans="1:46" s="27" customFormat="1" ht="24.9" customHeight="1" x14ac:dyDescent="0.35">
      <c r="A14" s="23" t="s">
        <v>141</v>
      </c>
      <c r="B14" s="33">
        <v>30000</v>
      </c>
      <c r="C14" s="28">
        <v>42946</v>
      </c>
      <c r="D14" s="261"/>
      <c r="E14" s="261"/>
      <c r="F14" s="261"/>
      <c r="G14" s="261"/>
      <c r="H14" s="261"/>
      <c r="I14" s="261"/>
      <c r="J14" s="261"/>
      <c r="K14" s="261"/>
      <c r="L14" s="261">
        <v>5000</v>
      </c>
      <c r="M14" s="261">
        <v>5000</v>
      </c>
      <c r="N14" s="261">
        <v>5000</v>
      </c>
      <c r="O14" s="261">
        <v>5000</v>
      </c>
      <c r="P14" s="261">
        <v>5000</v>
      </c>
      <c r="Q14" s="261">
        <v>5000</v>
      </c>
      <c r="R14" s="261"/>
      <c r="S14" s="261"/>
      <c r="T14" s="261"/>
      <c r="U14" s="261"/>
      <c r="V14" s="261"/>
      <c r="W14" s="261"/>
      <c r="X14" s="261"/>
      <c r="Y14" s="261"/>
      <c r="Z14" s="261"/>
      <c r="AA14" s="261"/>
      <c r="AB14" s="261"/>
      <c r="AC14" s="261"/>
      <c r="AD14" s="261"/>
      <c r="AE14" s="261"/>
      <c r="AF14" s="261"/>
      <c r="AG14" s="261"/>
      <c r="AH14" s="261"/>
      <c r="AI14" s="261"/>
      <c r="AJ14" s="261"/>
      <c r="AK14" s="261"/>
      <c r="AL14" s="261"/>
      <c r="AM14" s="261"/>
      <c r="AN14" s="261"/>
      <c r="AO14" s="261"/>
      <c r="AP14" s="261"/>
      <c r="AQ14" s="261"/>
      <c r="AR14" s="261"/>
      <c r="AS14" s="26">
        <f t="shared" si="0"/>
        <v>30000</v>
      </c>
      <c r="AT14" s="261">
        <f t="shared" si="1"/>
        <v>0</v>
      </c>
    </row>
    <row r="15" spans="1:46" s="27" customFormat="1" ht="24.9" customHeight="1" x14ac:dyDescent="0.35">
      <c r="A15" s="23" t="s">
        <v>136</v>
      </c>
      <c r="B15" s="33">
        <v>100000</v>
      </c>
      <c r="C15" s="24" t="s">
        <v>137</v>
      </c>
      <c r="D15" s="261" t="s">
        <v>53</v>
      </c>
      <c r="E15" s="261" t="s">
        <v>53</v>
      </c>
      <c r="F15" s="261" t="s">
        <v>53</v>
      </c>
      <c r="G15" s="261" t="s">
        <v>53</v>
      </c>
      <c r="H15" s="261" t="s">
        <v>53</v>
      </c>
      <c r="I15" s="261">
        <v>8000</v>
      </c>
      <c r="J15" s="261">
        <v>8000</v>
      </c>
      <c r="K15" s="261">
        <v>8000</v>
      </c>
      <c r="L15" s="261">
        <v>8000</v>
      </c>
      <c r="M15" s="261">
        <v>8000</v>
      </c>
      <c r="N15" s="261">
        <v>8000</v>
      </c>
      <c r="O15" s="261">
        <v>8000</v>
      </c>
      <c r="P15" s="261">
        <v>8000</v>
      </c>
      <c r="Q15" s="261">
        <v>8000</v>
      </c>
      <c r="R15" s="261">
        <v>8000</v>
      </c>
      <c r="S15" s="264">
        <f>8000+12000</f>
        <v>20000</v>
      </c>
      <c r="T15" s="261"/>
      <c r="U15" s="261"/>
      <c r="V15" s="261"/>
      <c r="W15" s="261"/>
      <c r="X15" s="261"/>
      <c r="Y15" s="261"/>
      <c r="Z15" s="261"/>
      <c r="AA15" s="261"/>
      <c r="AB15" s="261"/>
      <c r="AC15" s="261"/>
      <c r="AD15" s="261"/>
      <c r="AE15" s="261"/>
      <c r="AF15" s="261"/>
      <c r="AG15" s="261"/>
      <c r="AH15" s="261"/>
      <c r="AI15" s="261"/>
      <c r="AJ15" s="261"/>
      <c r="AK15" s="261"/>
      <c r="AL15" s="261"/>
      <c r="AM15" s="261"/>
      <c r="AN15" s="261"/>
      <c r="AO15" s="261"/>
      <c r="AP15" s="261"/>
      <c r="AQ15" s="261"/>
      <c r="AR15" s="261"/>
      <c r="AS15" s="26">
        <f t="shared" si="0"/>
        <v>100000</v>
      </c>
      <c r="AT15" s="261">
        <f t="shared" si="1"/>
        <v>0</v>
      </c>
    </row>
    <row r="16" spans="1:46" s="27" customFormat="1" ht="24.9" customHeight="1" x14ac:dyDescent="0.35">
      <c r="A16" s="23" t="s">
        <v>74</v>
      </c>
      <c r="B16" s="33">
        <v>50000</v>
      </c>
      <c r="C16" s="25">
        <v>42861</v>
      </c>
      <c r="D16" s="261" t="s">
        <v>53</v>
      </c>
      <c r="E16" s="261" t="s">
        <v>53</v>
      </c>
      <c r="F16" s="261" t="s">
        <v>53</v>
      </c>
      <c r="G16" s="261" t="s">
        <v>53</v>
      </c>
      <c r="H16" s="261" t="s">
        <v>53</v>
      </c>
      <c r="I16" s="261" t="s">
        <v>53</v>
      </c>
      <c r="J16" s="261">
        <v>5000</v>
      </c>
      <c r="K16" s="261">
        <v>5000</v>
      </c>
      <c r="L16" s="261">
        <v>5000</v>
      </c>
      <c r="M16" s="261">
        <v>5000</v>
      </c>
      <c r="N16" s="261">
        <v>5000</v>
      </c>
      <c r="O16" s="261">
        <v>5000</v>
      </c>
      <c r="P16" s="261">
        <v>5000</v>
      </c>
      <c r="Q16" s="261">
        <v>5000</v>
      </c>
      <c r="R16" s="261">
        <v>10000</v>
      </c>
      <c r="S16" s="261">
        <v>0</v>
      </c>
      <c r="T16" s="261"/>
      <c r="U16" s="261"/>
      <c r="V16" s="261"/>
      <c r="W16" s="261"/>
      <c r="X16" s="261"/>
      <c r="Y16" s="261"/>
      <c r="Z16" s="261"/>
      <c r="AA16" s="261"/>
      <c r="AB16" s="261"/>
      <c r="AC16" s="261"/>
      <c r="AD16" s="261"/>
      <c r="AE16" s="261"/>
      <c r="AF16" s="261"/>
      <c r="AG16" s="261"/>
      <c r="AH16" s="261"/>
      <c r="AI16" s="261"/>
      <c r="AJ16" s="261"/>
      <c r="AK16" s="261"/>
      <c r="AL16" s="261"/>
      <c r="AM16" s="261"/>
      <c r="AN16" s="261"/>
      <c r="AO16" s="261"/>
      <c r="AP16" s="261"/>
      <c r="AQ16" s="261"/>
      <c r="AR16" s="261"/>
      <c r="AS16" s="26">
        <f t="shared" si="0"/>
        <v>50000</v>
      </c>
      <c r="AT16" s="261">
        <f t="shared" si="1"/>
        <v>0</v>
      </c>
    </row>
    <row r="17" spans="1:46" s="27" customFormat="1" ht="24.9" customHeight="1" x14ac:dyDescent="0.35">
      <c r="A17" s="23" t="s">
        <v>51</v>
      </c>
      <c r="B17" s="39">
        <f>120000-70000</f>
        <v>50000</v>
      </c>
      <c r="C17" s="28">
        <v>42985</v>
      </c>
      <c r="D17" s="261" t="s">
        <v>53</v>
      </c>
      <c r="E17" s="261" t="s">
        <v>53</v>
      </c>
      <c r="F17" s="261" t="s">
        <v>53</v>
      </c>
      <c r="G17" s="261" t="s">
        <v>53</v>
      </c>
      <c r="H17" s="261" t="s">
        <v>53</v>
      </c>
      <c r="I17" s="261" t="s">
        <v>53</v>
      </c>
      <c r="J17" s="261" t="s">
        <v>53</v>
      </c>
      <c r="K17" s="261" t="s">
        <v>53</v>
      </c>
      <c r="L17" s="261" t="s">
        <v>53</v>
      </c>
      <c r="M17" s="261">
        <v>10000</v>
      </c>
      <c r="N17" s="261">
        <v>10000</v>
      </c>
      <c r="O17" s="261">
        <v>10000</v>
      </c>
      <c r="P17" s="261">
        <v>10000</v>
      </c>
      <c r="Q17" s="261">
        <v>10000</v>
      </c>
      <c r="R17" s="264"/>
      <c r="S17" s="264"/>
      <c r="T17" s="264"/>
      <c r="U17" s="264"/>
      <c r="V17" s="264"/>
      <c r="W17" s="264"/>
      <c r="X17" s="264"/>
      <c r="Y17" s="264"/>
      <c r="Z17" s="264"/>
      <c r="AA17" s="264"/>
      <c r="AB17" s="264"/>
      <c r="AC17" s="264"/>
      <c r="AD17" s="264"/>
      <c r="AE17" s="264"/>
      <c r="AF17" s="264"/>
      <c r="AG17" s="264"/>
      <c r="AH17" s="264"/>
      <c r="AI17" s="264"/>
      <c r="AJ17" s="264"/>
      <c r="AK17" s="264"/>
      <c r="AL17" s="264"/>
      <c r="AM17" s="264"/>
      <c r="AN17" s="264"/>
      <c r="AO17" s="264"/>
      <c r="AP17" s="264"/>
      <c r="AQ17" s="264"/>
      <c r="AR17" s="264"/>
      <c r="AS17" s="26">
        <f t="shared" si="0"/>
        <v>50000</v>
      </c>
      <c r="AT17" s="261">
        <f t="shared" si="1"/>
        <v>0</v>
      </c>
    </row>
    <row r="18" spans="1:46" s="27" customFormat="1" ht="24.9" customHeight="1" x14ac:dyDescent="0.35">
      <c r="A18" s="23" t="s">
        <v>161</v>
      </c>
      <c r="B18" s="33">
        <v>30000</v>
      </c>
      <c r="C18" s="28">
        <v>43050</v>
      </c>
      <c r="D18" s="261"/>
      <c r="E18" s="261"/>
      <c r="F18" s="261"/>
      <c r="G18" s="261"/>
      <c r="H18" s="261"/>
      <c r="I18" s="261"/>
      <c r="J18" s="261"/>
      <c r="K18" s="261"/>
      <c r="L18" s="261"/>
      <c r="M18" s="261"/>
      <c r="N18" s="261"/>
      <c r="O18" s="261"/>
      <c r="P18" s="261">
        <v>5000</v>
      </c>
      <c r="Q18" s="261">
        <v>5000</v>
      </c>
      <c r="R18" s="261">
        <v>5000</v>
      </c>
      <c r="S18" s="261">
        <v>5000</v>
      </c>
      <c r="T18" s="261">
        <v>0</v>
      </c>
      <c r="U18" s="261">
        <v>5000</v>
      </c>
      <c r="V18" s="261">
        <v>5000</v>
      </c>
      <c r="W18" s="261"/>
      <c r="X18" s="261"/>
      <c r="Y18" s="261"/>
      <c r="Z18" s="261"/>
      <c r="AA18" s="261"/>
      <c r="AB18" s="261"/>
      <c r="AC18" s="261"/>
      <c r="AD18" s="261"/>
      <c r="AE18" s="261"/>
      <c r="AF18" s="261"/>
      <c r="AG18" s="261"/>
      <c r="AH18" s="261"/>
      <c r="AI18" s="261"/>
      <c r="AJ18" s="261"/>
      <c r="AK18" s="261"/>
      <c r="AL18" s="261"/>
      <c r="AM18" s="261"/>
      <c r="AN18" s="261"/>
      <c r="AO18" s="261"/>
      <c r="AP18" s="261"/>
      <c r="AQ18" s="261"/>
      <c r="AR18" s="261"/>
      <c r="AS18" s="26">
        <f t="shared" si="0"/>
        <v>30000</v>
      </c>
      <c r="AT18" s="261">
        <f t="shared" si="1"/>
        <v>0</v>
      </c>
    </row>
    <row r="19" spans="1:46" s="27" customFormat="1" ht="24.9" customHeight="1" x14ac:dyDescent="0.35">
      <c r="A19" s="23" t="s">
        <v>110</v>
      </c>
      <c r="B19" s="33">
        <v>70000</v>
      </c>
      <c r="C19" s="28" t="s">
        <v>144</v>
      </c>
      <c r="D19" s="261" t="s">
        <v>53</v>
      </c>
      <c r="E19" s="261" t="s">
        <v>53</v>
      </c>
      <c r="F19" s="261" t="s">
        <v>53</v>
      </c>
      <c r="G19" s="261" t="s">
        <v>53</v>
      </c>
      <c r="H19" s="261" t="s">
        <v>53</v>
      </c>
      <c r="I19" s="261" t="s">
        <v>53</v>
      </c>
      <c r="J19" s="261" t="s">
        <v>53</v>
      </c>
      <c r="K19" s="261" t="s">
        <v>53</v>
      </c>
      <c r="L19" s="261" t="s">
        <v>53</v>
      </c>
      <c r="M19" s="261">
        <v>5000</v>
      </c>
      <c r="N19" s="261">
        <v>5000</v>
      </c>
      <c r="O19" s="261">
        <v>5000</v>
      </c>
      <c r="P19" s="261">
        <v>5000</v>
      </c>
      <c r="Q19" s="261">
        <v>5000</v>
      </c>
      <c r="R19" s="261">
        <v>5000</v>
      </c>
      <c r="S19" s="261">
        <v>5000</v>
      </c>
      <c r="T19" s="261">
        <v>5000</v>
      </c>
      <c r="U19" s="261">
        <v>5000</v>
      </c>
      <c r="V19" s="261">
        <v>5000</v>
      </c>
      <c r="W19" s="261">
        <v>5000</v>
      </c>
      <c r="X19" s="261">
        <v>5000</v>
      </c>
      <c r="Y19" s="261">
        <v>5000</v>
      </c>
      <c r="Z19" s="261">
        <v>5000</v>
      </c>
      <c r="AA19" s="261"/>
      <c r="AB19" s="261"/>
      <c r="AC19" s="261"/>
      <c r="AD19" s="261"/>
      <c r="AE19" s="261"/>
      <c r="AF19" s="261"/>
      <c r="AG19" s="261"/>
      <c r="AH19" s="261"/>
      <c r="AI19" s="261"/>
      <c r="AJ19" s="261"/>
      <c r="AK19" s="261"/>
      <c r="AL19" s="261"/>
      <c r="AM19" s="261"/>
      <c r="AN19" s="261"/>
      <c r="AO19" s="261"/>
      <c r="AP19" s="261"/>
      <c r="AQ19" s="261"/>
      <c r="AR19" s="261"/>
      <c r="AS19" s="26">
        <f t="shared" si="0"/>
        <v>70000</v>
      </c>
      <c r="AT19" s="261">
        <f t="shared" si="1"/>
        <v>0</v>
      </c>
    </row>
    <row r="20" spans="1:46" s="27" customFormat="1" ht="24.9" customHeight="1" x14ac:dyDescent="0.35">
      <c r="A20" s="23" t="s">
        <v>176</v>
      </c>
      <c r="B20" s="33">
        <v>150000</v>
      </c>
      <c r="C20" s="28">
        <v>43097</v>
      </c>
      <c r="D20" s="261"/>
      <c r="E20" s="261"/>
      <c r="F20" s="261"/>
      <c r="G20" s="261"/>
      <c r="H20" s="261"/>
      <c r="I20" s="261"/>
      <c r="J20" s="261"/>
      <c r="K20" s="261"/>
      <c r="L20" s="261"/>
      <c r="M20" s="261"/>
      <c r="N20" s="261"/>
      <c r="O20" s="261"/>
      <c r="P20" s="261"/>
      <c r="Q20" s="261"/>
      <c r="R20" s="261">
        <v>0</v>
      </c>
      <c r="S20" s="261">
        <v>15000</v>
      </c>
      <c r="T20" s="261">
        <v>15000</v>
      </c>
      <c r="U20" s="261">
        <v>15000</v>
      </c>
      <c r="V20" s="261">
        <v>15000</v>
      </c>
      <c r="W20" s="261">
        <v>15000</v>
      </c>
      <c r="X20" s="261">
        <v>15000</v>
      </c>
      <c r="Y20" s="261">
        <v>15000</v>
      </c>
      <c r="Z20" s="261">
        <v>15000</v>
      </c>
      <c r="AA20" s="261">
        <v>15000</v>
      </c>
      <c r="AB20" s="261">
        <v>15000</v>
      </c>
      <c r="AC20" s="261"/>
      <c r="AD20" s="261"/>
      <c r="AE20" s="261"/>
      <c r="AF20" s="261"/>
      <c r="AG20" s="261"/>
      <c r="AH20" s="261"/>
      <c r="AI20" s="261"/>
      <c r="AJ20" s="261"/>
      <c r="AK20" s="261"/>
      <c r="AL20" s="261"/>
      <c r="AM20" s="261"/>
      <c r="AN20" s="261"/>
      <c r="AO20" s="261"/>
      <c r="AP20" s="261"/>
      <c r="AQ20" s="261"/>
      <c r="AR20" s="261"/>
      <c r="AS20" s="26">
        <f t="shared" si="0"/>
        <v>150000</v>
      </c>
      <c r="AT20" s="261">
        <f t="shared" si="1"/>
        <v>0</v>
      </c>
    </row>
    <row r="21" spans="1:46" s="27" customFormat="1" ht="24.9" customHeight="1" x14ac:dyDescent="0.35">
      <c r="A21" s="23" t="s">
        <v>297</v>
      </c>
      <c r="B21" s="33">
        <v>52174</v>
      </c>
      <c r="C21" s="28">
        <v>43356</v>
      </c>
      <c r="D21" s="261"/>
      <c r="E21" s="261"/>
      <c r="F21" s="261"/>
      <c r="G21" s="261"/>
      <c r="H21" s="261"/>
      <c r="I21" s="261"/>
      <c r="J21" s="261"/>
      <c r="K21" s="261"/>
      <c r="L21" s="261"/>
      <c r="M21" s="261"/>
      <c r="N21" s="261"/>
      <c r="O21" s="261"/>
      <c r="P21" s="261"/>
      <c r="Q21" s="261"/>
      <c r="R21" s="261"/>
      <c r="S21" s="261"/>
      <c r="T21" s="261"/>
      <c r="U21" s="261"/>
      <c r="V21" s="261"/>
      <c r="W21" s="261"/>
      <c r="X21" s="261"/>
      <c r="Y21" s="261">
        <v>15000</v>
      </c>
      <c r="Z21" s="261">
        <v>15000</v>
      </c>
      <c r="AA21" s="261">
        <v>15000</v>
      </c>
      <c r="AB21" s="261">
        <v>15000</v>
      </c>
      <c r="AC21" s="263">
        <v>-7826</v>
      </c>
      <c r="AD21" s="261"/>
      <c r="AE21" s="261"/>
      <c r="AF21" s="261"/>
      <c r="AG21" s="261"/>
      <c r="AH21" s="261"/>
      <c r="AI21" s="261"/>
      <c r="AJ21" s="261"/>
      <c r="AK21" s="261"/>
      <c r="AL21" s="261"/>
      <c r="AM21" s="261"/>
      <c r="AN21" s="261"/>
      <c r="AO21" s="261"/>
      <c r="AP21" s="261"/>
      <c r="AQ21" s="261"/>
      <c r="AR21" s="261"/>
      <c r="AS21" s="26">
        <f t="shared" si="0"/>
        <v>52174</v>
      </c>
      <c r="AT21" s="261">
        <f t="shared" si="1"/>
        <v>0</v>
      </c>
    </row>
    <row r="22" spans="1:46" s="27" customFormat="1" ht="24.9" customHeight="1" x14ac:dyDescent="0.35">
      <c r="A22" s="38" t="s">
        <v>33</v>
      </c>
      <c r="B22" s="39">
        <v>200000</v>
      </c>
      <c r="C22" s="40" t="s">
        <v>134</v>
      </c>
      <c r="D22" s="263" t="s">
        <v>53</v>
      </c>
      <c r="E22" s="263" t="s">
        <v>53</v>
      </c>
      <c r="F22" s="263" t="s">
        <v>53</v>
      </c>
      <c r="G22" s="263" t="s">
        <v>53</v>
      </c>
      <c r="H22" s="263" t="s">
        <v>53</v>
      </c>
      <c r="I22" s="263" t="s">
        <v>53</v>
      </c>
      <c r="J22" s="263" t="s">
        <v>53</v>
      </c>
      <c r="K22" s="263" t="s">
        <v>53</v>
      </c>
      <c r="L22" s="263" t="s">
        <v>53</v>
      </c>
      <c r="M22" s="263">
        <v>0</v>
      </c>
      <c r="N22" s="263">
        <v>0</v>
      </c>
      <c r="O22" s="263"/>
      <c r="P22" s="263"/>
      <c r="Q22" s="263"/>
      <c r="R22" s="263"/>
      <c r="S22" s="263"/>
      <c r="T22" s="263"/>
      <c r="U22" s="263"/>
      <c r="V22" s="263"/>
      <c r="W22" s="263"/>
      <c r="X22" s="263"/>
      <c r="Y22" s="263"/>
      <c r="Z22" s="263"/>
      <c r="AA22" s="263"/>
      <c r="AB22" s="263"/>
      <c r="AC22" s="263"/>
      <c r="AD22" s="263"/>
      <c r="AE22" s="263"/>
      <c r="AF22" s="263"/>
      <c r="AG22" s="263"/>
      <c r="AH22" s="263"/>
      <c r="AI22" s="263"/>
      <c r="AJ22" s="263"/>
      <c r="AK22" s="263"/>
      <c r="AL22" s="263"/>
      <c r="AM22" s="263"/>
      <c r="AN22" s="263"/>
      <c r="AO22" s="263"/>
      <c r="AP22" s="263"/>
      <c r="AQ22" s="263"/>
      <c r="AR22" s="263"/>
      <c r="AS22" s="26">
        <f t="shared" si="0"/>
        <v>0</v>
      </c>
      <c r="AT22" s="263">
        <f t="shared" si="1"/>
        <v>200000</v>
      </c>
    </row>
    <row r="23" spans="1:46" s="27" customFormat="1" ht="24.9" customHeight="1" x14ac:dyDescent="0.35">
      <c r="A23" s="23" t="s">
        <v>47</v>
      </c>
      <c r="B23" s="33">
        <v>50000</v>
      </c>
      <c r="C23" s="24" t="s">
        <v>135</v>
      </c>
      <c r="D23" s="261" t="s">
        <v>53</v>
      </c>
      <c r="E23" s="261" t="s">
        <v>53</v>
      </c>
      <c r="F23" s="261" t="s">
        <v>53</v>
      </c>
      <c r="G23" s="261" t="s">
        <v>53</v>
      </c>
      <c r="H23" s="261">
        <v>5000</v>
      </c>
      <c r="I23" s="261">
        <v>5000</v>
      </c>
      <c r="J23" s="261" t="s">
        <v>53</v>
      </c>
      <c r="K23" s="261">
        <v>5000</v>
      </c>
      <c r="L23" s="261">
        <v>5000</v>
      </c>
      <c r="M23" s="264">
        <v>0</v>
      </c>
      <c r="N23" s="264">
        <v>0</v>
      </c>
      <c r="O23" s="264">
        <v>0</v>
      </c>
      <c r="P23" s="261">
        <v>5000</v>
      </c>
      <c r="Q23" s="261">
        <v>5000</v>
      </c>
      <c r="R23" s="261">
        <v>9000</v>
      </c>
      <c r="S23" s="261"/>
      <c r="T23" s="261"/>
      <c r="U23" s="261"/>
      <c r="V23" s="261"/>
      <c r="W23" s="261"/>
      <c r="X23" s="261"/>
      <c r="Y23" s="261"/>
      <c r="Z23" s="261"/>
      <c r="AA23" s="261"/>
      <c r="AB23" s="261"/>
      <c r="AC23" s="261"/>
      <c r="AD23" s="261"/>
      <c r="AE23" s="261"/>
      <c r="AF23" s="261"/>
      <c r="AG23" s="261"/>
      <c r="AH23" s="261"/>
      <c r="AI23" s="261"/>
      <c r="AJ23" s="261"/>
      <c r="AK23" s="261"/>
      <c r="AL23" s="261"/>
      <c r="AM23" s="261"/>
      <c r="AN23" s="261"/>
      <c r="AO23" s="261"/>
      <c r="AP23" s="261"/>
      <c r="AQ23" s="261"/>
      <c r="AR23" s="261"/>
      <c r="AS23" s="26">
        <f t="shared" si="0"/>
        <v>39000</v>
      </c>
      <c r="AT23" s="261">
        <f t="shared" si="1"/>
        <v>11000</v>
      </c>
    </row>
    <row r="24" spans="1:46" s="27" customFormat="1" ht="24.9" customHeight="1" x14ac:dyDescent="0.35">
      <c r="A24" s="23" t="s">
        <v>138</v>
      </c>
      <c r="B24" s="33">
        <v>30000</v>
      </c>
      <c r="C24" s="28">
        <v>43016</v>
      </c>
      <c r="D24" s="261"/>
      <c r="E24" s="261"/>
      <c r="F24" s="261"/>
      <c r="G24" s="261"/>
      <c r="H24" s="261"/>
      <c r="I24" s="261"/>
      <c r="J24" s="261"/>
      <c r="K24" s="261"/>
      <c r="L24" s="261"/>
      <c r="M24" s="261"/>
      <c r="N24" s="261">
        <v>3000</v>
      </c>
      <c r="O24" s="261">
        <v>3000</v>
      </c>
      <c r="P24" s="261"/>
      <c r="Q24" s="261">
        <v>5000</v>
      </c>
      <c r="R24" s="265"/>
      <c r="S24" s="264"/>
      <c r="T24" s="264"/>
      <c r="U24" s="264"/>
      <c r="V24" s="264"/>
      <c r="W24" s="264"/>
      <c r="X24" s="264"/>
      <c r="Y24" s="264"/>
      <c r="Z24" s="264"/>
      <c r="AA24" s="264"/>
      <c r="AB24" s="264"/>
      <c r="AC24" s="264"/>
      <c r="AD24" s="264"/>
      <c r="AE24" s="264"/>
      <c r="AF24" s="264"/>
      <c r="AG24" s="264"/>
      <c r="AH24" s="264"/>
      <c r="AI24" s="264"/>
      <c r="AJ24" s="264"/>
      <c r="AK24" s="264"/>
      <c r="AL24" s="264"/>
      <c r="AM24" s="264"/>
      <c r="AN24" s="264"/>
      <c r="AO24" s="264"/>
      <c r="AP24" s="264"/>
      <c r="AQ24" s="264"/>
      <c r="AR24" s="264"/>
      <c r="AS24" s="26">
        <f t="shared" si="0"/>
        <v>11000</v>
      </c>
      <c r="AT24" s="261">
        <f t="shared" si="1"/>
        <v>19000</v>
      </c>
    </row>
    <row r="25" spans="1:46" s="27" customFormat="1" ht="24.9" customHeight="1" x14ac:dyDescent="0.35">
      <c r="A25" s="23" t="s">
        <v>142</v>
      </c>
      <c r="B25" s="33">
        <v>150000</v>
      </c>
      <c r="C25" s="28">
        <v>42755</v>
      </c>
      <c r="D25" s="261"/>
      <c r="E25" s="261"/>
      <c r="F25" s="261"/>
      <c r="G25" s="261"/>
      <c r="H25" s="261"/>
      <c r="I25" s="261"/>
      <c r="J25" s="261"/>
      <c r="K25" s="261"/>
      <c r="L25" s="261"/>
      <c r="M25" s="261"/>
      <c r="N25" s="261"/>
      <c r="O25" s="261"/>
      <c r="P25" s="261"/>
      <c r="Q25" s="261"/>
      <c r="R25" s="261"/>
      <c r="S25" s="261"/>
      <c r="T25" s="261"/>
      <c r="U25" s="261"/>
      <c r="V25" s="261"/>
      <c r="W25" s="261"/>
      <c r="X25" s="261"/>
      <c r="Y25" s="261"/>
      <c r="Z25" s="261"/>
      <c r="AA25" s="261"/>
      <c r="AB25" s="261"/>
      <c r="AC25" s="261"/>
      <c r="AD25" s="261"/>
      <c r="AE25" s="261"/>
      <c r="AF25" s="261"/>
      <c r="AG25" s="261"/>
      <c r="AH25" s="261"/>
      <c r="AI25" s="261"/>
      <c r="AJ25" s="261"/>
      <c r="AK25" s="261"/>
      <c r="AL25" s="261"/>
      <c r="AM25" s="261"/>
      <c r="AN25" s="261"/>
      <c r="AO25" s="261"/>
      <c r="AP25" s="261"/>
      <c r="AQ25" s="261"/>
      <c r="AR25" s="261"/>
      <c r="AS25" s="26">
        <f t="shared" si="0"/>
        <v>0</v>
      </c>
      <c r="AT25" s="261">
        <f t="shared" si="1"/>
        <v>150000</v>
      </c>
    </row>
    <row r="26" spans="1:46" s="27" customFormat="1" ht="24.9" customHeight="1" x14ac:dyDescent="0.35">
      <c r="A26" s="23" t="s">
        <v>280</v>
      </c>
      <c r="B26" s="33">
        <v>50000</v>
      </c>
      <c r="C26" s="28">
        <v>43324</v>
      </c>
      <c r="D26" s="261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261"/>
      <c r="S26" s="261"/>
      <c r="T26" s="261"/>
      <c r="U26" s="261"/>
      <c r="V26" s="261"/>
      <c r="W26" s="261"/>
      <c r="X26" s="261"/>
      <c r="Y26" s="261"/>
      <c r="Z26" s="261"/>
      <c r="AA26" s="263">
        <v>15000</v>
      </c>
      <c r="AB26" s="261">
        <v>15000</v>
      </c>
      <c r="AC26" s="261">
        <v>15000</v>
      </c>
      <c r="AD26" s="263">
        <v>5000</v>
      </c>
      <c r="AE26" s="261"/>
      <c r="AF26" s="261"/>
      <c r="AG26" s="261"/>
      <c r="AH26" s="261"/>
      <c r="AI26" s="261"/>
      <c r="AJ26" s="261"/>
      <c r="AK26" s="261"/>
      <c r="AL26" s="261"/>
      <c r="AM26" s="261"/>
      <c r="AN26" s="261"/>
      <c r="AO26" s="261"/>
      <c r="AP26" s="261"/>
      <c r="AQ26" s="261"/>
      <c r="AR26" s="261"/>
      <c r="AS26" s="26">
        <f t="shared" si="0"/>
        <v>50000</v>
      </c>
      <c r="AT26" s="261">
        <f t="shared" si="1"/>
        <v>0</v>
      </c>
    </row>
    <row r="27" spans="1:46" s="27" customFormat="1" ht="24.9" customHeight="1" x14ac:dyDescent="0.35">
      <c r="A27" s="23" t="s">
        <v>280</v>
      </c>
      <c r="B27" s="33">
        <v>50000</v>
      </c>
      <c r="C27" s="28">
        <v>43356</v>
      </c>
      <c r="D27" s="261"/>
      <c r="E27" s="261"/>
      <c r="F27" s="261"/>
      <c r="G27" s="261"/>
      <c r="H27" s="261"/>
      <c r="I27" s="261"/>
      <c r="J27" s="261"/>
      <c r="K27" s="261"/>
      <c r="L27" s="261"/>
      <c r="M27" s="261"/>
      <c r="N27" s="261"/>
      <c r="O27" s="261"/>
      <c r="P27" s="261"/>
      <c r="Q27" s="261"/>
      <c r="R27" s="261"/>
      <c r="S27" s="261"/>
      <c r="T27" s="261"/>
      <c r="U27" s="261"/>
      <c r="V27" s="261"/>
      <c r="W27" s="261"/>
      <c r="X27" s="261"/>
      <c r="Y27" s="261"/>
      <c r="Z27" s="261"/>
      <c r="AA27" s="263"/>
      <c r="AB27" s="261"/>
      <c r="AC27" s="261"/>
      <c r="AD27" s="263">
        <f>35000+15000</f>
        <v>50000</v>
      </c>
      <c r="AE27" s="261"/>
      <c r="AF27" s="261"/>
      <c r="AG27" s="261"/>
      <c r="AH27" s="261"/>
      <c r="AI27" s="261"/>
      <c r="AJ27" s="261"/>
      <c r="AK27" s="261"/>
      <c r="AL27" s="261"/>
      <c r="AM27" s="261"/>
      <c r="AN27" s="261"/>
      <c r="AO27" s="261"/>
      <c r="AP27" s="261"/>
      <c r="AQ27" s="261"/>
      <c r="AR27" s="261"/>
      <c r="AS27" s="26">
        <f>SUM(D27:AR27)</f>
        <v>50000</v>
      </c>
      <c r="AT27" s="261">
        <f t="shared" si="1"/>
        <v>0</v>
      </c>
    </row>
    <row r="28" spans="1:46" s="27" customFormat="1" ht="24.9" customHeight="1" x14ac:dyDescent="0.35">
      <c r="A28" s="23" t="s">
        <v>47</v>
      </c>
      <c r="B28" s="33">
        <v>25000</v>
      </c>
      <c r="C28" s="28">
        <v>43373</v>
      </c>
      <c r="D28" s="266"/>
      <c r="E28" s="266"/>
      <c r="F28" s="266"/>
      <c r="G28" s="266"/>
      <c r="H28" s="266"/>
      <c r="I28" s="266"/>
      <c r="J28" s="266"/>
      <c r="K28" s="266"/>
      <c r="L28" s="266"/>
      <c r="M28" s="266"/>
      <c r="N28" s="266"/>
      <c r="O28" s="266"/>
      <c r="P28" s="266"/>
      <c r="Q28" s="266"/>
      <c r="R28" s="266"/>
      <c r="S28" s="266"/>
      <c r="T28" s="266"/>
      <c r="U28" s="266"/>
      <c r="V28" s="266"/>
      <c r="W28" s="266"/>
      <c r="X28" s="266"/>
      <c r="Y28" s="266"/>
      <c r="Z28" s="266"/>
      <c r="AA28" s="261">
        <v>5000</v>
      </c>
      <c r="AB28" s="261">
        <v>5000</v>
      </c>
      <c r="AC28" s="261">
        <v>5000</v>
      </c>
      <c r="AD28" s="261">
        <v>5000</v>
      </c>
      <c r="AE28" s="261">
        <v>0</v>
      </c>
      <c r="AF28" s="261">
        <v>5000</v>
      </c>
      <c r="AG28" s="261"/>
      <c r="AH28" s="261"/>
      <c r="AI28" s="261"/>
      <c r="AJ28" s="261"/>
      <c r="AK28" s="261"/>
      <c r="AL28" s="261"/>
      <c r="AM28" s="261"/>
      <c r="AN28" s="261"/>
      <c r="AO28" s="261"/>
      <c r="AP28" s="261"/>
      <c r="AQ28" s="261"/>
      <c r="AR28" s="261"/>
      <c r="AS28" s="26">
        <f t="shared" ref="AS28:AS40" si="2">SUM(D28:AR28)</f>
        <v>25000</v>
      </c>
      <c r="AT28" s="261">
        <f t="shared" si="1"/>
        <v>0</v>
      </c>
    </row>
    <row r="29" spans="1:46" s="27" customFormat="1" ht="24.9" customHeight="1" x14ac:dyDescent="0.35">
      <c r="A29" s="23" t="s">
        <v>404</v>
      </c>
      <c r="B29" s="33">
        <v>25000</v>
      </c>
      <c r="C29" s="28">
        <v>43475</v>
      </c>
      <c r="D29" s="266"/>
      <c r="E29" s="266"/>
      <c r="F29" s="266"/>
      <c r="G29" s="266"/>
      <c r="H29" s="266"/>
      <c r="I29" s="266"/>
      <c r="J29" s="266"/>
      <c r="K29" s="266"/>
      <c r="L29" s="266"/>
      <c r="M29" s="266"/>
      <c r="N29" s="266"/>
      <c r="O29" s="266"/>
      <c r="P29" s="266"/>
      <c r="Q29" s="266"/>
      <c r="R29" s="266"/>
      <c r="S29" s="266"/>
      <c r="T29" s="266"/>
      <c r="U29" s="266"/>
      <c r="V29" s="266"/>
      <c r="W29" s="266"/>
      <c r="X29" s="266"/>
      <c r="Y29" s="266"/>
      <c r="Z29" s="266"/>
      <c r="AA29" s="261"/>
      <c r="AB29" s="261"/>
      <c r="AC29" s="261">
        <v>5000</v>
      </c>
      <c r="AD29" s="261">
        <v>5000</v>
      </c>
      <c r="AE29" s="261">
        <v>0</v>
      </c>
      <c r="AF29" s="261">
        <v>5000</v>
      </c>
      <c r="AG29" s="261">
        <v>5000</v>
      </c>
      <c r="AH29" s="261">
        <v>5000</v>
      </c>
      <c r="AI29" s="261"/>
      <c r="AJ29" s="261"/>
      <c r="AK29" s="261"/>
      <c r="AL29" s="261"/>
      <c r="AM29" s="261"/>
      <c r="AN29" s="261"/>
      <c r="AO29" s="261"/>
      <c r="AP29" s="261"/>
      <c r="AQ29" s="261"/>
      <c r="AR29" s="261"/>
      <c r="AS29" s="26">
        <f t="shared" si="2"/>
        <v>25000</v>
      </c>
      <c r="AT29" s="261">
        <f t="shared" si="1"/>
        <v>0</v>
      </c>
    </row>
    <row r="30" spans="1:46" s="27" customFormat="1" ht="24.9" customHeight="1" x14ac:dyDescent="0.35">
      <c r="A30" s="23" t="s">
        <v>47</v>
      </c>
      <c r="B30" s="33">
        <f>20000+10000</f>
        <v>30000</v>
      </c>
      <c r="C30" s="28">
        <v>43567</v>
      </c>
      <c r="D30" s="266"/>
      <c r="E30" s="266"/>
      <c r="F30" s="266"/>
      <c r="G30" s="266"/>
      <c r="H30" s="266"/>
      <c r="I30" s="266"/>
      <c r="J30" s="266"/>
      <c r="K30" s="266"/>
      <c r="L30" s="266"/>
      <c r="M30" s="266"/>
      <c r="N30" s="266"/>
      <c r="O30" s="266"/>
      <c r="P30" s="266"/>
      <c r="Q30" s="266"/>
      <c r="R30" s="266"/>
      <c r="S30" s="266"/>
      <c r="T30" s="266"/>
      <c r="U30" s="266"/>
      <c r="V30" s="266"/>
      <c r="W30" s="266"/>
      <c r="X30" s="266"/>
      <c r="Y30" s="266"/>
      <c r="Z30" s="266"/>
      <c r="AA30" s="261"/>
      <c r="AB30" s="261"/>
      <c r="AC30" s="261"/>
      <c r="AD30" s="261"/>
      <c r="AE30" s="261"/>
      <c r="AF30" s="261"/>
      <c r="AG30" s="261">
        <v>5000</v>
      </c>
      <c r="AH30" s="261">
        <v>5000</v>
      </c>
      <c r="AI30" s="261">
        <f>-Master!AG69</f>
        <v>0</v>
      </c>
      <c r="AJ30" s="261">
        <v>5000</v>
      </c>
      <c r="AK30" s="261">
        <v>5000</v>
      </c>
      <c r="AL30" s="261">
        <v>10000</v>
      </c>
      <c r="AM30" s="261"/>
      <c r="AN30" s="261"/>
      <c r="AO30" s="261"/>
      <c r="AP30" s="261"/>
      <c r="AQ30" s="261"/>
      <c r="AR30" s="261"/>
      <c r="AS30" s="26">
        <f t="shared" si="2"/>
        <v>30000</v>
      </c>
      <c r="AT30" s="261">
        <f t="shared" si="1"/>
        <v>0</v>
      </c>
    </row>
    <row r="31" spans="1:46" s="27" customFormat="1" ht="24.9" customHeight="1" x14ac:dyDescent="0.35">
      <c r="A31" s="23" t="s">
        <v>465</v>
      </c>
      <c r="B31" s="33">
        <v>50000</v>
      </c>
      <c r="C31" s="28">
        <v>43715</v>
      </c>
      <c r="D31" s="266"/>
      <c r="E31" s="266"/>
      <c r="F31" s="266"/>
      <c r="G31" s="266"/>
      <c r="H31" s="266"/>
      <c r="I31" s="266"/>
      <c r="J31" s="266"/>
      <c r="K31" s="266"/>
      <c r="L31" s="266"/>
      <c r="M31" s="266"/>
      <c r="N31" s="266"/>
      <c r="O31" s="266"/>
      <c r="P31" s="266"/>
      <c r="Q31" s="266"/>
      <c r="R31" s="266"/>
      <c r="S31" s="266"/>
      <c r="T31" s="266"/>
      <c r="U31" s="266"/>
      <c r="V31" s="266"/>
      <c r="W31" s="266"/>
      <c r="X31" s="266"/>
      <c r="Y31" s="266"/>
      <c r="Z31" s="266"/>
      <c r="AA31" s="261"/>
      <c r="AB31" s="261"/>
      <c r="AC31" s="261"/>
      <c r="AD31" s="261"/>
      <c r="AE31" s="261"/>
      <c r="AF31" s="261"/>
      <c r="AG31" s="261"/>
      <c r="AH31" s="261"/>
      <c r="AI31" s="261"/>
      <c r="AJ31" s="261"/>
      <c r="AK31" s="261"/>
      <c r="AL31" s="261"/>
      <c r="AM31" s="261">
        <v>10000</v>
      </c>
      <c r="AN31" s="261">
        <v>10000</v>
      </c>
      <c r="AO31" s="261">
        <v>30000</v>
      </c>
      <c r="AP31" s="261"/>
      <c r="AQ31" s="261"/>
      <c r="AR31" s="261"/>
      <c r="AS31" s="26">
        <f t="shared" si="2"/>
        <v>50000</v>
      </c>
      <c r="AT31" s="261">
        <f t="shared" si="1"/>
        <v>0</v>
      </c>
    </row>
    <row r="32" spans="1:46" s="27" customFormat="1" ht="24.9" customHeight="1" x14ac:dyDescent="0.35">
      <c r="A32" s="23" t="s">
        <v>404</v>
      </c>
      <c r="B32" s="33">
        <v>20000</v>
      </c>
      <c r="C32" s="28">
        <v>43749</v>
      </c>
      <c r="D32" s="266"/>
      <c r="E32" s="266"/>
      <c r="F32" s="266"/>
      <c r="G32" s="266"/>
      <c r="H32" s="266"/>
      <c r="I32" s="266"/>
      <c r="J32" s="266"/>
      <c r="K32" s="266"/>
      <c r="L32" s="266"/>
      <c r="M32" s="266"/>
      <c r="N32" s="266"/>
      <c r="O32" s="266"/>
      <c r="P32" s="266"/>
      <c r="Q32" s="266"/>
      <c r="R32" s="266"/>
      <c r="S32" s="266"/>
      <c r="T32" s="266"/>
      <c r="U32" s="266"/>
      <c r="V32" s="266"/>
      <c r="W32" s="266"/>
      <c r="X32" s="266"/>
      <c r="Y32" s="266"/>
      <c r="Z32" s="266"/>
      <c r="AA32" s="261"/>
      <c r="AB32" s="261"/>
      <c r="AC32" s="261"/>
      <c r="AD32" s="261"/>
      <c r="AE32" s="261"/>
      <c r="AF32" s="261"/>
      <c r="AG32" s="261"/>
      <c r="AH32" s="261"/>
      <c r="AI32" s="261"/>
      <c r="AJ32" s="261"/>
      <c r="AK32" s="261"/>
      <c r="AL32" s="261"/>
      <c r="AM32" s="261">
        <v>5000</v>
      </c>
      <c r="AN32" s="261">
        <v>5000</v>
      </c>
      <c r="AO32" s="261">
        <v>5000</v>
      </c>
      <c r="AP32" s="261">
        <v>5000</v>
      </c>
      <c r="AQ32" s="261"/>
      <c r="AR32" s="261"/>
      <c r="AS32" s="26">
        <f t="shared" si="2"/>
        <v>20000</v>
      </c>
      <c r="AT32" s="261">
        <f t="shared" si="1"/>
        <v>0</v>
      </c>
    </row>
    <row r="33" spans="1:46" s="27" customFormat="1" ht="24.9" customHeight="1" x14ac:dyDescent="0.35">
      <c r="A33" s="23" t="s">
        <v>44</v>
      </c>
      <c r="B33" s="33">
        <v>15000</v>
      </c>
      <c r="C33" s="28">
        <v>43818</v>
      </c>
      <c r="D33" s="266"/>
      <c r="E33" s="266"/>
      <c r="F33" s="266"/>
      <c r="G33" s="266"/>
      <c r="H33" s="266"/>
      <c r="I33" s="266"/>
      <c r="J33" s="266"/>
      <c r="K33" s="266"/>
      <c r="L33" s="266"/>
      <c r="M33" s="266"/>
      <c r="N33" s="266"/>
      <c r="O33" s="266"/>
      <c r="P33" s="266"/>
      <c r="Q33" s="266"/>
      <c r="R33" s="266"/>
      <c r="S33" s="266"/>
      <c r="T33" s="266"/>
      <c r="U33" s="266"/>
      <c r="V33" s="266"/>
      <c r="W33" s="266"/>
      <c r="X33" s="266"/>
      <c r="Y33" s="266"/>
      <c r="Z33" s="266"/>
      <c r="AA33" s="261"/>
      <c r="AB33" s="261"/>
      <c r="AC33" s="261"/>
      <c r="AD33" s="261"/>
      <c r="AE33" s="261"/>
      <c r="AF33" s="261"/>
      <c r="AG33" s="261"/>
      <c r="AH33" s="261"/>
      <c r="AI33" s="261"/>
      <c r="AJ33" s="261"/>
      <c r="AK33" s="261"/>
      <c r="AL33" s="261"/>
      <c r="AM33" s="261"/>
      <c r="AN33" s="261"/>
      <c r="AO33" s="261">
        <v>5000</v>
      </c>
      <c r="AP33" s="261">
        <v>5000</v>
      </c>
      <c r="AQ33" s="261"/>
      <c r="AR33" s="261">
        <v>5000</v>
      </c>
      <c r="AS33" s="26">
        <f t="shared" si="2"/>
        <v>15000</v>
      </c>
      <c r="AT33" s="261">
        <f t="shared" si="1"/>
        <v>0</v>
      </c>
    </row>
    <row r="34" spans="1:46" s="27" customFormat="1" ht="24.9" customHeight="1" x14ac:dyDescent="0.35">
      <c r="A34" s="23" t="s">
        <v>404</v>
      </c>
      <c r="B34" s="33">
        <v>20000</v>
      </c>
      <c r="C34" s="28">
        <v>43476</v>
      </c>
      <c r="D34" s="266"/>
      <c r="E34" s="266"/>
      <c r="F34" s="266"/>
      <c r="G34" s="266"/>
      <c r="H34" s="266"/>
      <c r="I34" s="266"/>
      <c r="J34" s="266"/>
      <c r="K34" s="266"/>
      <c r="L34" s="266"/>
      <c r="M34" s="266"/>
      <c r="N34" s="266"/>
      <c r="O34" s="266"/>
      <c r="P34" s="266"/>
      <c r="Q34" s="266"/>
      <c r="R34" s="266"/>
      <c r="S34" s="266"/>
      <c r="T34" s="266"/>
      <c r="U34" s="266"/>
      <c r="V34" s="266"/>
      <c r="W34" s="266"/>
      <c r="X34" s="266"/>
      <c r="Y34" s="266"/>
      <c r="Z34" s="266"/>
      <c r="AA34" s="261"/>
      <c r="AB34" s="261"/>
      <c r="AC34" s="261"/>
      <c r="AD34" s="261"/>
      <c r="AE34" s="261"/>
      <c r="AF34" s="261"/>
      <c r="AG34" s="261"/>
      <c r="AH34" s="261"/>
      <c r="AI34" s="261"/>
      <c r="AJ34" s="261"/>
      <c r="AK34" s="261"/>
      <c r="AL34" s="261"/>
      <c r="AM34" s="261"/>
      <c r="AN34" s="261"/>
      <c r="AO34" s="261"/>
      <c r="AP34" s="261"/>
      <c r="AQ34" s="261"/>
      <c r="AR34" s="261"/>
      <c r="AS34" s="26">
        <f t="shared" si="2"/>
        <v>0</v>
      </c>
      <c r="AT34" s="261">
        <f t="shared" ref="AT34:AT40" si="3">B34-AS34</f>
        <v>20000</v>
      </c>
    </row>
    <row r="35" spans="1:46" s="27" customFormat="1" ht="24.9" customHeight="1" x14ac:dyDescent="0.35">
      <c r="A35" s="23" t="s">
        <v>45</v>
      </c>
      <c r="B35" s="33">
        <v>100000</v>
      </c>
      <c r="C35" s="28">
        <v>43867</v>
      </c>
      <c r="D35" s="266"/>
      <c r="E35" s="266"/>
      <c r="F35" s="266"/>
      <c r="G35" s="266"/>
      <c r="H35" s="266"/>
      <c r="I35" s="266"/>
      <c r="J35" s="266"/>
      <c r="K35" s="266"/>
      <c r="L35" s="266"/>
      <c r="M35" s="266"/>
      <c r="N35" s="266"/>
      <c r="O35" s="266"/>
      <c r="P35" s="266"/>
      <c r="Q35" s="266"/>
      <c r="R35" s="266"/>
      <c r="S35" s="266"/>
      <c r="T35" s="266"/>
      <c r="U35" s="266"/>
      <c r="V35" s="266"/>
      <c r="W35" s="266"/>
      <c r="X35" s="266"/>
      <c r="Y35" s="266"/>
      <c r="Z35" s="266"/>
      <c r="AA35" s="261"/>
      <c r="AB35" s="261"/>
      <c r="AC35" s="261"/>
      <c r="AD35" s="261"/>
      <c r="AE35" s="261"/>
      <c r="AF35" s="261"/>
      <c r="AG35" s="261"/>
      <c r="AH35" s="261"/>
      <c r="AI35" s="261"/>
      <c r="AJ35" s="261"/>
      <c r="AK35" s="261"/>
      <c r="AL35" s="261"/>
      <c r="AM35" s="261"/>
      <c r="AN35" s="261"/>
      <c r="AO35" s="261"/>
      <c r="AP35" s="261">
        <v>10000</v>
      </c>
      <c r="AQ35" s="261"/>
      <c r="AR35" s="261">
        <v>10000</v>
      </c>
      <c r="AS35" s="26">
        <f t="shared" si="2"/>
        <v>20000</v>
      </c>
      <c r="AT35" s="261">
        <f t="shared" si="3"/>
        <v>80000</v>
      </c>
    </row>
    <row r="36" spans="1:46" s="27" customFormat="1" ht="24.9" customHeight="1" x14ac:dyDescent="0.35">
      <c r="A36" s="23" t="s">
        <v>267</v>
      </c>
      <c r="B36" s="33">
        <v>75000</v>
      </c>
      <c r="C36" s="28"/>
      <c r="D36" s="266"/>
      <c r="E36" s="266"/>
      <c r="F36" s="266"/>
      <c r="G36" s="266"/>
      <c r="H36" s="266"/>
      <c r="I36" s="266"/>
      <c r="J36" s="266"/>
      <c r="K36" s="266"/>
      <c r="L36" s="266"/>
      <c r="M36" s="266"/>
      <c r="N36" s="266"/>
      <c r="O36" s="266"/>
      <c r="P36" s="266"/>
      <c r="Q36" s="266"/>
      <c r="R36" s="266"/>
      <c r="S36" s="266"/>
      <c r="T36" s="266"/>
      <c r="U36" s="266"/>
      <c r="V36" s="266"/>
      <c r="W36" s="266"/>
      <c r="X36" s="266"/>
      <c r="Y36" s="266"/>
      <c r="Z36" s="266"/>
      <c r="AA36" s="261"/>
      <c r="AB36" s="261"/>
      <c r="AC36" s="261"/>
      <c r="AD36" s="261"/>
      <c r="AE36" s="261"/>
      <c r="AF36" s="261"/>
      <c r="AG36" s="261"/>
      <c r="AH36" s="261"/>
      <c r="AI36" s="261"/>
      <c r="AJ36" s="261"/>
      <c r="AK36" s="261"/>
      <c r="AL36" s="261"/>
      <c r="AM36" s="261"/>
      <c r="AN36" s="261"/>
      <c r="AO36" s="261"/>
      <c r="AP36" s="261"/>
      <c r="AQ36" s="261"/>
      <c r="AR36" s="261"/>
      <c r="AS36" s="26">
        <f t="shared" si="2"/>
        <v>0</v>
      </c>
      <c r="AT36" s="261">
        <f t="shared" si="3"/>
        <v>75000</v>
      </c>
    </row>
    <row r="37" spans="1:46" s="27" customFormat="1" ht="24.9" customHeight="1" x14ac:dyDescent="0.35">
      <c r="A37" s="23" t="s">
        <v>46</v>
      </c>
      <c r="B37" s="33">
        <v>300000</v>
      </c>
      <c r="C37" s="28"/>
      <c r="D37" s="266"/>
      <c r="E37" s="266"/>
      <c r="F37" s="266"/>
      <c r="G37" s="266"/>
      <c r="H37" s="266"/>
      <c r="I37" s="266"/>
      <c r="J37" s="266"/>
      <c r="K37" s="266"/>
      <c r="L37" s="266"/>
      <c r="M37" s="266"/>
      <c r="N37" s="266"/>
      <c r="O37" s="266"/>
      <c r="P37" s="266"/>
      <c r="Q37" s="266"/>
      <c r="R37" s="266"/>
      <c r="S37" s="266"/>
      <c r="T37" s="266"/>
      <c r="U37" s="266"/>
      <c r="V37" s="266"/>
      <c r="W37" s="266"/>
      <c r="X37" s="266"/>
      <c r="Y37" s="266"/>
      <c r="Z37" s="266"/>
      <c r="AA37" s="261"/>
      <c r="AB37" s="261"/>
      <c r="AC37" s="261"/>
      <c r="AD37" s="261"/>
      <c r="AE37" s="261"/>
      <c r="AF37" s="261"/>
      <c r="AG37" s="261"/>
      <c r="AH37" s="261"/>
      <c r="AI37" s="261"/>
      <c r="AJ37" s="261"/>
      <c r="AK37" s="261"/>
      <c r="AL37" s="261"/>
      <c r="AM37" s="261"/>
      <c r="AN37" s="261"/>
      <c r="AO37" s="261"/>
      <c r="AP37" s="261"/>
      <c r="AQ37" s="261"/>
      <c r="AR37" s="261"/>
      <c r="AS37" s="26">
        <f t="shared" si="2"/>
        <v>0</v>
      </c>
      <c r="AT37" s="261">
        <f t="shared" si="3"/>
        <v>300000</v>
      </c>
    </row>
    <row r="38" spans="1:46" s="27" customFormat="1" ht="24.9" customHeight="1" x14ac:dyDescent="0.35">
      <c r="A38" s="23" t="s">
        <v>110</v>
      </c>
      <c r="B38" s="33">
        <v>70000</v>
      </c>
      <c r="C38" s="28"/>
      <c r="D38" s="266"/>
      <c r="E38" s="266"/>
      <c r="F38" s="266"/>
      <c r="G38" s="266"/>
      <c r="H38" s="266"/>
      <c r="I38" s="266"/>
      <c r="J38" s="266"/>
      <c r="K38" s="266"/>
      <c r="L38" s="266"/>
      <c r="M38" s="266"/>
      <c r="N38" s="266"/>
      <c r="O38" s="266"/>
      <c r="P38" s="266"/>
      <c r="Q38" s="266"/>
      <c r="R38" s="266"/>
      <c r="S38" s="266"/>
      <c r="T38" s="266"/>
      <c r="U38" s="266"/>
      <c r="V38" s="266"/>
      <c r="W38" s="266"/>
      <c r="X38" s="266"/>
      <c r="Y38" s="266"/>
      <c r="Z38" s="266"/>
      <c r="AA38" s="261"/>
      <c r="AB38" s="261"/>
      <c r="AC38" s="261"/>
      <c r="AD38" s="261"/>
      <c r="AE38" s="261"/>
      <c r="AF38" s="261"/>
      <c r="AG38" s="261"/>
      <c r="AH38" s="261"/>
      <c r="AI38" s="261"/>
      <c r="AJ38" s="261"/>
      <c r="AK38" s="261"/>
      <c r="AL38" s="261"/>
      <c r="AM38" s="261"/>
      <c r="AN38" s="261"/>
      <c r="AO38" s="261"/>
      <c r="AP38" s="261"/>
      <c r="AQ38" s="261"/>
      <c r="AR38" s="261"/>
      <c r="AS38" s="26">
        <f t="shared" si="2"/>
        <v>0</v>
      </c>
      <c r="AT38" s="261">
        <f t="shared" si="3"/>
        <v>70000</v>
      </c>
    </row>
    <row r="39" spans="1:46" s="27" customFormat="1" ht="24.9" customHeight="1" x14ac:dyDescent="0.35">
      <c r="A39" s="23" t="s">
        <v>47</v>
      </c>
      <c r="B39" s="33">
        <v>50000</v>
      </c>
      <c r="C39" s="28">
        <v>43931</v>
      </c>
      <c r="D39" s="266"/>
      <c r="E39" s="266"/>
      <c r="F39" s="266"/>
      <c r="G39" s="266"/>
      <c r="H39" s="266"/>
      <c r="I39" s="266"/>
      <c r="J39" s="266"/>
      <c r="K39" s="266"/>
      <c r="L39" s="266"/>
      <c r="M39" s="266"/>
      <c r="N39" s="266"/>
      <c r="O39" s="266"/>
      <c r="P39" s="266"/>
      <c r="Q39" s="266"/>
      <c r="R39" s="266"/>
      <c r="S39" s="266"/>
      <c r="T39" s="266"/>
      <c r="U39" s="266"/>
      <c r="V39" s="266"/>
      <c r="W39" s="266"/>
      <c r="X39" s="266"/>
      <c r="Y39" s="266"/>
      <c r="Z39" s="266"/>
      <c r="AA39" s="261"/>
      <c r="AB39" s="261"/>
      <c r="AC39" s="261"/>
      <c r="AD39" s="261"/>
      <c r="AE39" s="261"/>
      <c r="AF39" s="261"/>
      <c r="AG39" s="261"/>
      <c r="AH39" s="261"/>
      <c r="AI39" s="261"/>
      <c r="AJ39" s="261"/>
      <c r="AK39" s="261"/>
      <c r="AL39" s="261"/>
      <c r="AM39" s="261"/>
      <c r="AN39" s="261"/>
      <c r="AO39" s="261"/>
      <c r="AP39" s="261"/>
      <c r="AQ39" s="261"/>
      <c r="AR39" s="261">
        <v>5000</v>
      </c>
      <c r="AS39" s="26">
        <f t="shared" si="2"/>
        <v>5000</v>
      </c>
      <c r="AT39" s="261">
        <f t="shared" si="3"/>
        <v>45000</v>
      </c>
    </row>
    <row r="40" spans="1:46" s="27" customFormat="1" ht="24.9" customHeight="1" x14ac:dyDescent="0.35">
      <c r="A40" s="38" t="s">
        <v>524</v>
      </c>
      <c r="B40" s="39">
        <v>20000</v>
      </c>
      <c r="C40" s="28"/>
      <c r="D40" s="266"/>
      <c r="E40" s="266"/>
      <c r="F40" s="266"/>
      <c r="G40" s="266"/>
      <c r="H40" s="266"/>
      <c r="I40" s="266"/>
      <c r="J40" s="266"/>
      <c r="K40" s="266"/>
      <c r="L40" s="266"/>
      <c r="M40" s="266"/>
      <c r="N40" s="266"/>
      <c r="O40" s="266"/>
      <c r="P40" s="266"/>
      <c r="Q40" s="266"/>
      <c r="R40" s="266"/>
      <c r="S40" s="266"/>
      <c r="T40" s="266"/>
      <c r="U40" s="266"/>
      <c r="V40" s="266"/>
      <c r="W40" s="266"/>
      <c r="X40" s="266"/>
      <c r="Y40" s="266"/>
      <c r="Z40" s="266"/>
      <c r="AA40" s="261"/>
      <c r="AB40" s="261"/>
      <c r="AC40" s="261"/>
      <c r="AD40" s="261"/>
      <c r="AE40" s="261"/>
      <c r="AF40" s="261"/>
      <c r="AG40" s="261"/>
      <c r="AH40" s="261"/>
      <c r="AI40" s="261"/>
      <c r="AJ40" s="261"/>
      <c r="AK40" s="261"/>
      <c r="AL40" s="261"/>
      <c r="AM40" s="261"/>
      <c r="AN40" s="261"/>
      <c r="AO40" s="261"/>
      <c r="AP40" s="261"/>
      <c r="AQ40" s="261"/>
      <c r="AR40" s="261"/>
      <c r="AS40" s="26">
        <f t="shared" si="2"/>
        <v>0</v>
      </c>
      <c r="AT40" s="261">
        <f t="shared" si="3"/>
        <v>20000</v>
      </c>
    </row>
    <row r="41" spans="1:46" ht="16.2" thickBot="1" x14ac:dyDescent="0.35"/>
    <row r="42" spans="1:46" s="32" customFormat="1" ht="18.600000000000001" thickBot="1" x14ac:dyDescent="0.4">
      <c r="A42" s="30"/>
      <c r="B42" s="31">
        <f>SUM(B5:B41)</f>
        <v>2211222</v>
      </c>
      <c r="C42" s="30"/>
      <c r="D42" s="31">
        <f t="shared" ref="D42:AS42" si="4">SUM(D5:D41)</f>
        <v>5000</v>
      </c>
      <c r="E42" s="31">
        <f t="shared" si="4"/>
        <v>10000</v>
      </c>
      <c r="F42" s="31">
        <f t="shared" si="4"/>
        <v>86350</v>
      </c>
      <c r="G42" s="31">
        <f t="shared" si="4"/>
        <v>96350</v>
      </c>
      <c r="H42" s="31">
        <f t="shared" si="4"/>
        <v>41350</v>
      </c>
      <c r="I42" s="31">
        <f t="shared" si="4"/>
        <v>18000</v>
      </c>
      <c r="J42" s="31">
        <f t="shared" si="4"/>
        <v>28000</v>
      </c>
      <c r="K42" s="31">
        <f t="shared" si="4"/>
        <v>47500</v>
      </c>
      <c r="L42" s="31">
        <f t="shared" si="4"/>
        <v>47500</v>
      </c>
      <c r="M42" s="31">
        <f t="shared" si="4"/>
        <v>60000</v>
      </c>
      <c r="N42" s="31">
        <f t="shared" si="4"/>
        <v>48000</v>
      </c>
      <c r="O42" s="31">
        <f t="shared" si="4"/>
        <v>38000</v>
      </c>
      <c r="P42" s="31">
        <f t="shared" si="4"/>
        <v>43000</v>
      </c>
      <c r="Q42" s="31">
        <f t="shared" si="4"/>
        <v>48000</v>
      </c>
      <c r="R42" s="31">
        <f t="shared" si="4"/>
        <v>37000</v>
      </c>
      <c r="S42" s="31">
        <f t="shared" si="4"/>
        <v>45000</v>
      </c>
      <c r="T42" s="31">
        <f t="shared" si="4"/>
        <v>20000</v>
      </c>
      <c r="U42" s="31">
        <f t="shared" si="4"/>
        <v>25000</v>
      </c>
      <c r="V42" s="31">
        <f t="shared" si="4"/>
        <v>25000</v>
      </c>
      <c r="W42" s="31">
        <f t="shared" si="4"/>
        <v>20000</v>
      </c>
      <c r="X42" s="31">
        <f t="shared" si="4"/>
        <v>20000</v>
      </c>
      <c r="Y42" s="31">
        <f t="shared" si="4"/>
        <v>35000</v>
      </c>
      <c r="Z42" s="31">
        <f t="shared" si="4"/>
        <v>35000</v>
      </c>
      <c r="AA42" s="31">
        <f t="shared" si="4"/>
        <v>50000</v>
      </c>
      <c r="AB42" s="31">
        <f t="shared" si="4"/>
        <v>50000</v>
      </c>
      <c r="AC42" s="31">
        <f t="shared" si="4"/>
        <v>17174</v>
      </c>
      <c r="AD42" s="31">
        <f t="shared" si="4"/>
        <v>65000</v>
      </c>
      <c r="AE42" s="31">
        <f t="shared" si="4"/>
        <v>0</v>
      </c>
      <c r="AF42" s="31">
        <f t="shared" si="4"/>
        <v>10000</v>
      </c>
      <c r="AG42" s="31">
        <f t="shared" si="4"/>
        <v>10000</v>
      </c>
      <c r="AH42" s="31">
        <f t="shared" si="4"/>
        <v>10000</v>
      </c>
      <c r="AI42" s="31">
        <f t="shared" si="4"/>
        <v>0</v>
      </c>
      <c r="AJ42" s="31">
        <f t="shared" si="4"/>
        <v>5000</v>
      </c>
      <c r="AK42" s="31">
        <f t="shared" si="4"/>
        <v>5000</v>
      </c>
      <c r="AL42" s="31">
        <f t="shared" si="4"/>
        <v>10000</v>
      </c>
      <c r="AM42" s="31">
        <f t="shared" si="4"/>
        <v>15000</v>
      </c>
      <c r="AN42" s="31">
        <f t="shared" si="4"/>
        <v>15000</v>
      </c>
      <c r="AO42" s="31">
        <f t="shared" si="4"/>
        <v>40000</v>
      </c>
      <c r="AP42" s="31">
        <f t="shared" si="4"/>
        <v>20000</v>
      </c>
      <c r="AQ42" s="31">
        <f t="shared" si="4"/>
        <v>0</v>
      </c>
      <c r="AR42" s="31">
        <f t="shared" si="4"/>
        <v>20000</v>
      </c>
      <c r="AS42" s="31">
        <f t="shared" si="4"/>
        <v>1221224</v>
      </c>
      <c r="AT42" s="31">
        <f>SUM(AT5:AT41)</f>
        <v>989998</v>
      </c>
    </row>
    <row r="44" spans="1:46" x14ac:dyDescent="0.3">
      <c r="AT44" s="29">
        <v>762078</v>
      </c>
    </row>
    <row r="45" spans="1:46" x14ac:dyDescent="0.3">
      <c r="AT45" s="43">
        <f>+AT42-AT44</f>
        <v>227920</v>
      </c>
    </row>
  </sheetData>
  <autoFilter ref="A4:AT42" xr:uid="{7B985542-542D-4592-BDC0-8BE87AD5CB25}"/>
  <mergeCells count="1">
    <mergeCell ref="A1:AT2"/>
  </mergeCell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93D0E-3D9E-4C98-B6EB-FDF5D0791AAD}">
  <sheetPr codeName="Sheet1"/>
  <dimension ref="A1:L141"/>
  <sheetViews>
    <sheetView view="pageBreakPreview" topLeftCell="A118" zoomScale="115" zoomScaleNormal="100" zoomScaleSheetLayoutView="115" workbookViewId="0">
      <selection activeCell="C120" sqref="C120"/>
    </sheetView>
  </sheetViews>
  <sheetFormatPr defaultColWidth="8.88671875" defaultRowHeight="15" customHeight="1" x14ac:dyDescent="0.3"/>
  <cols>
    <col min="1" max="1" width="8.88671875" style="59"/>
    <col min="2" max="2" width="48.6640625" style="52" customWidth="1"/>
    <col min="3" max="4" width="12.5546875" style="51" bestFit="1" customWidth="1"/>
    <col min="5" max="5" width="10.6640625" style="51" customWidth="1"/>
    <col min="6" max="16384" width="8.88671875" style="52"/>
  </cols>
  <sheetData>
    <row r="1" spans="1:8" ht="15" customHeight="1" x14ac:dyDescent="0.3">
      <c r="A1" s="763" t="s">
        <v>119</v>
      </c>
      <c r="B1" s="763"/>
      <c r="C1" s="763"/>
      <c r="D1" s="763"/>
    </row>
    <row r="2" spans="1:8" ht="15" customHeight="1" x14ac:dyDescent="0.3">
      <c r="A2" s="763" t="s">
        <v>121</v>
      </c>
      <c r="B2" s="763"/>
      <c r="C2" s="763"/>
      <c r="D2" s="763"/>
    </row>
    <row r="3" spans="1:8" ht="15" customHeight="1" x14ac:dyDescent="0.3">
      <c r="A3" s="53"/>
      <c r="B3" s="53"/>
      <c r="C3" s="54" t="s">
        <v>191</v>
      </c>
      <c r="D3" s="55">
        <v>43889</v>
      </c>
    </row>
    <row r="4" spans="1:8" s="59" customFormat="1" ht="15" customHeight="1" x14ac:dyDescent="0.3">
      <c r="A4" s="56" t="s">
        <v>190</v>
      </c>
      <c r="B4" s="56" t="s">
        <v>189</v>
      </c>
      <c r="C4" s="57" t="s">
        <v>114</v>
      </c>
      <c r="D4" s="57" t="s">
        <v>115</v>
      </c>
      <c r="E4" s="58"/>
    </row>
    <row r="5" spans="1:8" s="59" customFormat="1" ht="15" customHeight="1" x14ac:dyDescent="0.3">
      <c r="C5" s="60"/>
      <c r="D5" s="60"/>
      <c r="E5" s="58"/>
    </row>
    <row r="6" spans="1:8" ht="15" customHeight="1" x14ac:dyDescent="0.3">
      <c r="B6" s="61" t="s">
        <v>159</v>
      </c>
      <c r="C6" s="62"/>
      <c r="D6" s="62"/>
    </row>
    <row r="7" spans="1:8" ht="15" customHeight="1" x14ac:dyDescent="0.3">
      <c r="C7" s="63" t="s">
        <v>59</v>
      </c>
      <c r="D7" s="63" t="s">
        <v>59</v>
      </c>
    </row>
    <row r="8" spans="1:8" ht="15" customHeight="1" x14ac:dyDescent="0.3">
      <c r="A8" s="59" t="s">
        <v>116</v>
      </c>
      <c r="B8" s="52" t="s">
        <v>117</v>
      </c>
      <c r="C8" s="62">
        <f>SUMIFS(Master!$AD$8:$AD$58,Master!$M$8:$M$58,'Journal Entry'!C7,Master!$N$8:$N$58,'Journal Entry'!D7)</f>
        <v>612263.15789473685</v>
      </c>
      <c r="D8" s="62"/>
      <c r="H8" s="267">
        <f>C8-D8</f>
        <v>612263.15789473685</v>
      </c>
    </row>
    <row r="9" spans="1:8" ht="15" customHeight="1" x14ac:dyDescent="0.3">
      <c r="A9" s="59" t="s">
        <v>116</v>
      </c>
      <c r="B9" s="52" t="s">
        <v>407</v>
      </c>
      <c r="C9" s="62">
        <f>SUMIFS(Master!$BG$8:$BG$58,Master!$M$8:$M$58,'Journal Entry'!C$7,Master!$N$8:$N$58,'Journal Entry'!D$7)</f>
        <v>3750</v>
      </c>
      <c r="D9" s="62"/>
      <c r="H9" s="267">
        <f>C9-D9</f>
        <v>3750</v>
      </c>
    </row>
    <row r="10" spans="1:8" ht="15" customHeight="1" x14ac:dyDescent="0.3">
      <c r="A10" s="59" t="s">
        <v>118</v>
      </c>
      <c r="B10" s="68" t="s">
        <v>179</v>
      </c>
      <c r="C10" s="62"/>
      <c r="D10" s="62">
        <f>SUMIFS(Master!$AE$8:$AE$58,Master!$M$8:$M$58,'Journal Entry'!C$7,Master!$N$8:$N$58,'Journal Entry'!D$7)</f>
        <v>5274.2</v>
      </c>
      <c r="H10" s="267">
        <f t="shared" ref="H10:H13" si="0">C10-D10</f>
        <v>-5274.2</v>
      </c>
    </row>
    <row r="11" spans="1:8" ht="15" customHeight="1" x14ac:dyDescent="0.3">
      <c r="A11" s="59" t="s">
        <v>118</v>
      </c>
      <c r="B11" s="68" t="s">
        <v>406</v>
      </c>
      <c r="C11" s="62"/>
      <c r="D11" s="62">
        <f>SUMIFS(Master!$AF$8:$AF$58,Master!$M$8:$M$58,'Journal Entry'!C$7,Master!$N$8:$N$58,'Journal Entry'!D$7)</f>
        <v>750</v>
      </c>
      <c r="H11" s="267">
        <f t="shared" si="0"/>
        <v>-750</v>
      </c>
    </row>
    <row r="12" spans="1:8" ht="15" customHeight="1" x14ac:dyDescent="0.3">
      <c r="A12" s="59" t="s">
        <v>118</v>
      </c>
      <c r="B12" s="68" t="s">
        <v>406</v>
      </c>
      <c r="C12" s="62"/>
      <c r="D12" s="62">
        <f>SUMIFS(Master!$BG$8:$BG$58,Master!$M$8:$M$58,'Journal Entry'!C$7,Master!$N$8:$N$58,'Journal Entry'!D$7)</f>
        <v>3750</v>
      </c>
      <c r="H12" s="267">
        <f t="shared" si="0"/>
        <v>-3750</v>
      </c>
    </row>
    <row r="13" spans="1:8" ht="15" customHeight="1" x14ac:dyDescent="0.3">
      <c r="A13" s="59" t="s">
        <v>118</v>
      </c>
      <c r="B13" s="68" t="s">
        <v>181</v>
      </c>
      <c r="C13" s="62"/>
      <c r="D13" s="62">
        <f>SUMIFS(Master!$AG$8:$AG$58,Master!$M$8:$M$58,'Journal Entry'!C$7,Master!$N$8:$N$58,'Journal Entry'!D$7)-D15</f>
        <v>17000</v>
      </c>
      <c r="H13" s="267">
        <f t="shared" si="0"/>
        <v>-17000</v>
      </c>
    </row>
    <row r="14" spans="1:8" ht="15" customHeight="1" x14ac:dyDescent="0.3">
      <c r="A14" s="59" t="s">
        <v>118</v>
      </c>
      <c r="B14" s="68" t="s">
        <v>182</v>
      </c>
      <c r="C14" s="62"/>
      <c r="D14" s="62">
        <f>SUMIFS(Master!$AH$8:$AH$58,Master!$M$8:$M$58,'Journal Entry'!C$7,Master!$N$8:$N$58,'Journal Entry'!D$7)</f>
        <v>10000</v>
      </c>
      <c r="F14" s="134"/>
    </row>
    <row r="15" spans="1:8" ht="15" customHeight="1" x14ac:dyDescent="0.3">
      <c r="A15" s="59" t="s">
        <v>118</v>
      </c>
      <c r="B15" s="68" t="s">
        <v>180</v>
      </c>
      <c r="C15" s="62"/>
      <c r="D15" s="62">
        <f>SUMIFS(Master!$U$8:$U$58,Master!$M$8:$M$58,'Journal Entry'!C$7,Master!$N$8:$N$58,'Journal Entry'!D$7)-SUMIFS(Master!$P$8:$P$58,Master!$M$8:$M$58,'Journal Entry'!C$7,Master!$N$8:$N$58,'Journal Entry'!D$7)</f>
        <v>0</v>
      </c>
    </row>
    <row r="16" spans="1:8" ht="15" customHeight="1" x14ac:dyDescent="0.3">
      <c r="A16" s="59" t="s">
        <v>118</v>
      </c>
      <c r="B16" s="68" t="s">
        <v>101</v>
      </c>
      <c r="C16" s="62"/>
      <c r="D16" s="62">
        <f>SUMIFS(Master!$AN$8:$AN$58,Master!$M$8:$M$58,'Journal Entry'!C$7,Master!$N$8:$N$58,'Journal Entry'!D$7)+SUMIFS(Master!$AP$8:$AP$58,Master!$M$8:$M$58,'Journal Entry'!C$7,Master!$N$8:$N$58,'Journal Entry'!D$7)+SUMIFS(Master!$AQ$8:$AQ$58,Master!$M$8:$M$58,'Journal Entry'!C$7,Master!$N$8:$N$58,'Journal Entry'!D$7)</f>
        <v>527239.35789473681</v>
      </c>
      <c r="H16" s="757">
        <f>C16-D16+C17-D17+C18-D18+C19-D19</f>
        <v>-579239.35789473681</v>
      </c>
    </row>
    <row r="17" spans="1:8" ht="15" customHeight="1" x14ac:dyDescent="0.3">
      <c r="A17" s="59" t="s">
        <v>118</v>
      </c>
      <c r="B17" s="68" t="s">
        <v>120</v>
      </c>
      <c r="C17" s="62"/>
      <c r="D17" s="62">
        <f>SUMIFS(Master!$AO$8:$AO$58,Master!$M$8:$M$58,'Journal Entry'!C7,Master!$N$8:$N$58,'Journal Entry'!D7)</f>
        <v>0</v>
      </c>
      <c r="H17" s="267"/>
    </row>
    <row r="18" spans="1:8" ht="15" customHeight="1" x14ac:dyDescent="0.3">
      <c r="A18" s="59" t="s">
        <v>118</v>
      </c>
      <c r="B18" s="68" t="s">
        <v>26</v>
      </c>
      <c r="C18" s="62"/>
      <c r="D18" s="62">
        <f>SUMIFS(Master!$AR$8:$AR$58,Master!$M$8:$M$58,'Journal Entry'!C7,Master!$N$8:$N$58,'Journal Entry'!D7)</f>
        <v>52000</v>
      </c>
      <c r="H18" s="267"/>
    </row>
    <row r="19" spans="1:8" ht="15" customHeight="1" x14ac:dyDescent="0.3">
      <c r="A19" s="59" t="s">
        <v>118</v>
      </c>
      <c r="B19" s="68" t="s">
        <v>184</v>
      </c>
      <c r="C19" s="62"/>
      <c r="D19" s="62">
        <f>SUMIFS(Master!$AT$8:$AT$58,Master!$M$8:$M$58,'Journal Entry'!C7,Master!$N$8:$N$58,'Journal Entry'!D7)</f>
        <v>0</v>
      </c>
    </row>
    <row r="20" spans="1:8" ht="15" customHeight="1" x14ac:dyDescent="0.3">
      <c r="C20" s="64">
        <f>SUBTOTAL(9,C8:C19)</f>
        <v>616013.15789473685</v>
      </c>
      <c r="D20" s="64">
        <f>SUBTOTAL(9,D8:D19)</f>
        <v>616013.55789473676</v>
      </c>
      <c r="E20" s="51">
        <f>C20-D20</f>
        <v>-0.39999999990686774</v>
      </c>
      <c r="F20" s="267">
        <f>'Payroll Support Apr24'!AD17-D20+D12</f>
        <v>-0.39999999990686774</v>
      </c>
      <c r="G20" s="267"/>
    </row>
    <row r="21" spans="1:8" ht="15" customHeight="1" x14ac:dyDescent="0.3">
      <c r="C21" s="62"/>
      <c r="D21" s="62"/>
    </row>
    <row r="22" spans="1:8" ht="15" customHeight="1" x14ac:dyDescent="0.3">
      <c r="B22" s="61" t="s">
        <v>185</v>
      </c>
      <c r="C22" s="62"/>
      <c r="D22" s="62"/>
    </row>
    <row r="23" spans="1:8" ht="15" customHeight="1" x14ac:dyDescent="0.3">
      <c r="C23" s="63" t="s">
        <v>57</v>
      </c>
      <c r="D23" s="63" t="s">
        <v>59</v>
      </c>
    </row>
    <row r="24" spans="1:8" ht="15" customHeight="1" x14ac:dyDescent="0.3">
      <c r="A24" s="59" t="s">
        <v>116</v>
      </c>
      <c r="B24" s="52" t="s">
        <v>117</v>
      </c>
      <c r="C24" s="62">
        <f>SUMIFS(Master!$AD$8:$AD$58,Master!$M$8:$M$58,'Journal Entry'!C23,Master!$N$8:$N$58,'Journal Entry'!D23)</f>
        <v>592017.5438596491</v>
      </c>
      <c r="D24" s="62"/>
      <c r="H24" s="267">
        <f>C24-D24</f>
        <v>592017.5438596491</v>
      </c>
    </row>
    <row r="25" spans="1:8" ht="15" customHeight="1" x14ac:dyDescent="0.3">
      <c r="A25" s="59" t="s">
        <v>116</v>
      </c>
      <c r="B25" s="52" t="s">
        <v>407</v>
      </c>
      <c r="C25" s="62">
        <f>SUMIFS(Master!$BG$8:$BG$58,Master!$M$8:$M$58,'Journal Entry'!C$23,Master!$N$8:$N$58,'Journal Entry'!D$23)</f>
        <v>1250</v>
      </c>
      <c r="D25" s="62"/>
      <c r="H25" s="267">
        <f>C25-D25</f>
        <v>1250</v>
      </c>
    </row>
    <row r="26" spans="1:8" ht="15" customHeight="1" x14ac:dyDescent="0.3">
      <c r="A26" s="59" t="s">
        <v>118</v>
      </c>
      <c r="B26" s="68" t="s">
        <v>179</v>
      </c>
      <c r="C26" s="62"/>
      <c r="D26" s="62">
        <f>SUMIFS(Master!$AE$8:$AE$58,Master!$M$8:$M$58,'Journal Entry'!C$23,Master!$N$8:$N$58,'Journal Entry'!D$23)</f>
        <v>9790</v>
      </c>
      <c r="H26" s="267">
        <f t="shared" ref="H26:H31" si="1">C26-D26</f>
        <v>-9790</v>
      </c>
    </row>
    <row r="27" spans="1:8" ht="15" customHeight="1" x14ac:dyDescent="0.3">
      <c r="A27" s="59" t="s">
        <v>118</v>
      </c>
      <c r="B27" s="68" t="s">
        <v>406</v>
      </c>
      <c r="C27" s="62"/>
      <c r="D27" s="62">
        <f>SUMIFS(Master!$AF$8:$AF$58,Master!$M$8:$M$58,'Journal Entry'!C$23,Master!$N$8:$N$58,'Journal Entry'!D$23)</f>
        <v>250</v>
      </c>
      <c r="H27" s="267">
        <f t="shared" si="1"/>
        <v>-250</v>
      </c>
    </row>
    <row r="28" spans="1:8" ht="15" customHeight="1" x14ac:dyDescent="0.3">
      <c r="A28" s="59" t="s">
        <v>118</v>
      </c>
      <c r="B28" s="68" t="s">
        <v>406</v>
      </c>
      <c r="C28" s="62"/>
      <c r="D28" s="62">
        <f>SUMIFS(Master!$BG$8:$BG$58,Master!$M$8:$M$58,'Journal Entry'!C$23,Master!$N$8:$N$58,'Journal Entry'!D$23)</f>
        <v>1250</v>
      </c>
      <c r="H28" s="267">
        <f t="shared" si="1"/>
        <v>-1250</v>
      </c>
    </row>
    <row r="29" spans="1:8" ht="15" customHeight="1" x14ac:dyDescent="0.3">
      <c r="A29" s="59" t="s">
        <v>118</v>
      </c>
      <c r="B29" s="68" t="s">
        <v>181</v>
      </c>
      <c r="C29" s="62"/>
      <c r="D29" s="62">
        <f>SUMIFS(Master!$AG$8:$AG$58,Master!$M$8:$M$58,'Journal Entry'!C$23,Master!$N$8:$N$58,'Journal Entry'!D$23)-D31</f>
        <v>0</v>
      </c>
      <c r="H29" s="267">
        <f t="shared" si="1"/>
        <v>0</v>
      </c>
    </row>
    <row r="30" spans="1:8" ht="15" customHeight="1" x14ac:dyDescent="0.3">
      <c r="A30" s="59" t="s">
        <v>118</v>
      </c>
      <c r="B30" s="68" t="s">
        <v>182</v>
      </c>
      <c r="C30" s="62"/>
      <c r="D30" s="62">
        <f>SUMIFS(Master!$AH$8:$AH$58,Master!$M$8:$M$58,'Journal Entry'!C$23,Master!$N$8:$N$58,'Journal Entry'!D$23)</f>
        <v>5000</v>
      </c>
      <c r="F30" s="134"/>
      <c r="H30" s="267">
        <f t="shared" si="1"/>
        <v>-5000</v>
      </c>
    </row>
    <row r="31" spans="1:8" ht="15" customHeight="1" x14ac:dyDescent="0.3">
      <c r="A31" s="59" t="s">
        <v>118</v>
      </c>
      <c r="B31" s="68" t="s">
        <v>180</v>
      </c>
      <c r="C31" s="62"/>
      <c r="D31" s="62">
        <f>SUMIFS(Master!$U$8:$U$58,Master!$M$8:$M$58,'Journal Entry'!C$23,Master!$N$8:$N$58,'Journal Entry'!D$23)-SUMIFS(Master!$P$8:$P$58,Master!$M$8:$M$58,'Journal Entry'!C$23,Master!$N$8:$N$58,'Journal Entry'!D$23)</f>
        <v>75000</v>
      </c>
      <c r="H31" s="267">
        <f t="shared" si="1"/>
        <v>-75000</v>
      </c>
    </row>
    <row r="32" spans="1:8" ht="15" customHeight="1" x14ac:dyDescent="0.3">
      <c r="A32" s="59" t="s">
        <v>118</v>
      </c>
      <c r="B32" s="68" t="s">
        <v>101</v>
      </c>
      <c r="C32" s="62"/>
      <c r="D32" s="62">
        <f>SUMIFS(Master!$AN$8:$AN$58,Master!$M$8:$M$58,'Journal Entry'!C$23,Master!$N$8:$N$58,'Journal Entry'!D$23)+SUMIFS(Master!$AP$8:$AP$58,Master!$M$8:$M$58,'Journal Entry'!C$23,Master!$N$8:$N$58,'Journal Entry'!D$23)+SUMIFS(Master!$AQ$8:$AQ$58,Master!$M$8:$M$58,'Journal Entry'!C$23,Master!$N$8:$N$58,'Journal Entry'!D$23)</f>
        <v>444960</v>
      </c>
      <c r="H32" s="757">
        <f>C32-D32+C33-D33+C34-D34+C35-D35</f>
        <v>-501977.54385964916</v>
      </c>
    </row>
    <row r="33" spans="1:8" ht="15" customHeight="1" x14ac:dyDescent="0.3">
      <c r="A33" s="59" t="s">
        <v>118</v>
      </c>
      <c r="B33" s="68" t="s">
        <v>120</v>
      </c>
      <c r="C33" s="62"/>
      <c r="D33" s="62">
        <f>SUMIFS(Master!$AO$8:$AO$58,Master!$M$8:$M$58,'Journal Entry'!C23,Master!$N$8:$N$58,'Journal Entry'!D23)</f>
        <v>0</v>
      </c>
      <c r="H33" s="267"/>
    </row>
    <row r="34" spans="1:8" ht="15" customHeight="1" x14ac:dyDescent="0.3">
      <c r="A34" s="59" t="s">
        <v>118</v>
      </c>
      <c r="B34" s="68" t="s">
        <v>26</v>
      </c>
      <c r="C34" s="62"/>
      <c r="D34" s="62">
        <f>SUMIFS(Master!$AR$8:$AR$58,Master!$M$8:$M$58,'Journal Entry'!C23,Master!$N$8:$N$58,'Journal Entry'!D23)</f>
        <v>31578.947368421053</v>
      </c>
      <c r="H34" s="267"/>
    </row>
    <row r="35" spans="1:8" ht="15" customHeight="1" x14ac:dyDescent="0.3">
      <c r="A35" s="59" t="s">
        <v>118</v>
      </c>
      <c r="B35" s="68" t="s">
        <v>184</v>
      </c>
      <c r="C35" s="62"/>
      <c r="D35" s="62">
        <f>SUMIFS(Master!$AT$8:$AT$58,Master!$M$8:$M$58,'Journal Entry'!C23,Master!$N$8:$N$58,'Journal Entry'!D23)</f>
        <v>25438.596491228069</v>
      </c>
      <c r="H35" s="267"/>
    </row>
    <row r="36" spans="1:8" ht="15" customHeight="1" x14ac:dyDescent="0.3">
      <c r="C36" s="64">
        <f>SUBTOTAL(9,C24:C35)</f>
        <v>593267.5438596491</v>
      </c>
      <c r="D36" s="64">
        <f>SUBTOTAL(9,D24:D35)</f>
        <v>593267.5438596491</v>
      </c>
      <c r="F36" s="267">
        <f>'Payroll HW Apr24'!AD23-D36+D28</f>
        <v>-317017.5438596491</v>
      </c>
    </row>
    <row r="37" spans="1:8" ht="15" customHeight="1" x14ac:dyDescent="0.3">
      <c r="C37" s="62"/>
      <c r="D37" s="62"/>
    </row>
    <row r="38" spans="1:8" ht="15" customHeight="1" x14ac:dyDescent="0.3">
      <c r="B38" s="61" t="s">
        <v>166</v>
      </c>
      <c r="C38" s="62"/>
      <c r="D38" s="62"/>
    </row>
    <row r="39" spans="1:8" ht="15" customHeight="1" x14ac:dyDescent="0.3">
      <c r="C39" s="63" t="s">
        <v>57</v>
      </c>
      <c r="D39" s="63" t="s">
        <v>29</v>
      </c>
    </row>
    <row r="40" spans="1:8" ht="15" customHeight="1" x14ac:dyDescent="0.3">
      <c r="A40" s="59" t="s">
        <v>116</v>
      </c>
      <c r="B40" s="52" t="s">
        <v>117</v>
      </c>
      <c r="C40" s="62">
        <f>SUMIFS(Master!$AD$8:$AD$58,Master!$M$8:$M$58,'Journal Entry'!C39,Master!$N$8:$N$58,'Journal Entry'!D39)</f>
        <v>560750</v>
      </c>
      <c r="D40" s="62"/>
      <c r="H40" s="267">
        <f>C40-D40</f>
        <v>560750</v>
      </c>
    </row>
    <row r="41" spans="1:8" ht="15" customHeight="1" x14ac:dyDescent="0.3">
      <c r="A41" s="59" t="s">
        <v>116</v>
      </c>
      <c r="B41" s="52" t="s">
        <v>407</v>
      </c>
      <c r="C41" s="62">
        <f>SUMIFS(Master!$BG$8:$BG$58,Master!$M$8:$M$58,'Journal Entry'!C$39,Master!$N$8:$N$58,'Journal Entry'!D$39)</f>
        <v>2500</v>
      </c>
      <c r="D41" s="62"/>
      <c r="H41" s="267">
        <f>C41-D41</f>
        <v>2500</v>
      </c>
    </row>
    <row r="42" spans="1:8" ht="15" customHeight="1" x14ac:dyDescent="0.3">
      <c r="A42" s="59" t="s">
        <v>118</v>
      </c>
      <c r="B42" s="68" t="s">
        <v>179</v>
      </c>
      <c r="C42" s="62"/>
      <c r="D42" s="62">
        <f>SUMIFS(Master!$AE$8:$AE$58,Master!$M$8:$M$58,'Journal Entry'!C$39,Master!$N$8:$N$58,'Journal Entry'!D$39)</f>
        <v>3341.3</v>
      </c>
      <c r="H42" s="267">
        <f t="shared" ref="H42:H47" si="2">C42-D42</f>
        <v>-3341.3</v>
      </c>
    </row>
    <row r="43" spans="1:8" ht="15" customHeight="1" x14ac:dyDescent="0.3">
      <c r="A43" s="59" t="s">
        <v>118</v>
      </c>
      <c r="B43" s="68" t="s">
        <v>406</v>
      </c>
      <c r="C43" s="62"/>
      <c r="D43" s="62">
        <f>SUMIFS(Master!$AF$8:$AF$58,Master!$M$8:$M$58,'Journal Entry'!C$39,Master!$N$8:$N$58,'Journal Entry'!D$39)</f>
        <v>500</v>
      </c>
      <c r="H43" s="267">
        <f t="shared" si="2"/>
        <v>-500</v>
      </c>
    </row>
    <row r="44" spans="1:8" ht="15" customHeight="1" x14ac:dyDescent="0.3">
      <c r="A44" s="59" t="s">
        <v>118</v>
      </c>
      <c r="B44" s="68" t="s">
        <v>406</v>
      </c>
      <c r="C44" s="62"/>
      <c r="D44" s="62">
        <f>SUMIFS(Master!$BG$8:$BG$58,Master!$M$8:$M$58,'Journal Entry'!C$39,Master!$N$8:$N$58,'Journal Entry'!D$39)</f>
        <v>2500</v>
      </c>
      <c r="H44" s="267">
        <f t="shared" si="2"/>
        <v>-2500</v>
      </c>
    </row>
    <row r="45" spans="1:8" ht="15" customHeight="1" x14ac:dyDescent="0.3">
      <c r="A45" s="59" t="s">
        <v>118</v>
      </c>
      <c r="B45" s="68" t="s">
        <v>181</v>
      </c>
      <c r="C45" s="62"/>
      <c r="D45" s="62">
        <f>SUMIFS(Master!$AG$8:$AG$58,Master!$M$8:$M$58,'Journal Entry'!C$39,Master!$N$8:$N$58,'Journal Entry'!D$39)-D47</f>
        <v>0</v>
      </c>
      <c r="H45" s="267">
        <f t="shared" si="2"/>
        <v>0</v>
      </c>
    </row>
    <row r="46" spans="1:8" ht="15" customHeight="1" x14ac:dyDescent="0.3">
      <c r="A46" s="59" t="s">
        <v>118</v>
      </c>
      <c r="B46" s="68" t="s">
        <v>182</v>
      </c>
      <c r="C46" s="62"/>
      <c r="D46" s="62">
        <f>SUMIFS(Master!$AH$8:$AH$58,Master!$M$8:$M$58,'Journal Entry'!C$39,Master!$N$8:$N$58,'Journal Entry'!D$39)</f>
        <v>0</v>
      </c>
      <c r="G46" s="134"/>
      <c r="H46" s="267">
        <f t="shared" si="2"/>
        <v>0</v>
      </c>
    </row>
    <row r="47" spans="1:8" ht="15" customHeight="1" x14ac:dyDescent="0.3">
      <c r="A47" s="59" t="s">
        <v>118</v>
      </c>
      <c r="B47" s="68" t="s">
        <v>180</v>
      </c>
      <c r="C47" s="62"/>
      <c r="D47" s="62">
        <f>SUMIFS(Master!$U$8:$U$58,Master!$M$8:$M$58,'Journal Entry'!C$39,Master!$N$8:$N$58,'Journal Entry'!D$39)-SUMIFS(Master!$P$8:$P$58,Master!$M$8:$M$58,'Journal Entry'!C$39,Master!$N$8:$N$58,'Journal Entry'!D$39)</f>
        <v>85000</v>
      </c>
      <c r="H47" s="267">
        <f t="shared" si="2"/>
        <v>-85000</v>
      </c>
    </row>
    <row r="48" spans="1:8" ht="15" customHeight="1" x14ac:dyDescent="0.3">
      <c r="A48" s="59" t="s">
        <v>118</v>
      </c>
      <c r="B48" s="68" t="s">
        <v>101</v>
      </c>
      <c r="C48" s="62"/>
      <c r="D48" s="62">
        <f>SUMIFS(Master!$AN$8:$AN$58,Master!$M$8:$M$58,'Journal Entry'!C$39,Master!$N$8:$N$58,'Journal Entry'!D$39)+SUMIFS(Master!$AP$8:$AP$58,Master!$M$8:$M$58,'Journal Entry'!C$39,Master!$N$8:$N$58,'Journal Entry'!D$39)+SUMIFS(Master!$AQ$8:$AQ$58,Master!$M$8:$M$58,'Journal Entry'!C$39,Master!$N$8:$N$58,'Journal Entry'!D$39)</f>
        <v>461408.7</v>
      </c>
      <c r="H48" s="757">
        <f>C48-D48+C49-D49+C50-D50+C51-D51</f>
        <v>-471908.7</v>
      </c>
    </row>
    <row r="49" spans="1:8" ht="15" customHeight="1" x14ac:dyDescent="0.3">
      <c r="A49" s="59" t="s">
        <v>118</v>
      </c>
      <c r="B49" s="68" t="s">
        <v>120</v>
      </c>
      <c r="C49" s="62"/>
      <c r="D49" s="62">
        <f>SUMIFS(Master!$AO$8:$AO$58,Master!$M$8:$M$58,'Journal Entry'!C39,Master!$N$8:$N$58,'Journal Entry'!D39)</f>
        <v>0</v>
      </c>
      <c r="H49" s="267"/>
    </row>
    <row r="50" spans="1:8" ht="15" customHeight="1" x14ac:dyDescent="0.3">
      <c r="A50" s="59" t="s">
        <v>118</v>
      </c>
      <c r="B50" s="68" t="s">
        <v>26</v>
      </c>
      <c r="C50" s="62"/>
      <c r="D50" s="62">
        <f>SUMIFS(Master!$AR$8:$AR$58,Master!$M$8:$M$58,'Journal Entry'!C39,Master!$N$8:$N$58,'Journal Entry'!D39)</f>
        <v>10500</v>
      </c>
      <c r="H50" s="267"/>
    </row>
    <row r="51" spans="1:8" ht="15" customHeight="1" x14ac:dyDescent="0.3">
      <c r="A51" s="59" t="s">
        <v>118</v>
      </c>
      <c r="B51" s="68" t="s">
        <v>184</v>
      </c>
      <c r="C51" s="62"/>
      <c r="D51" s="62">
        <f>SUMIFS(Master!$AT$8:$AT$58,Master!$M$8:$M$58,'Journal Entry'!C39,Master!$N$8:$N$58,'Journal Entry'!D39)</f>
        <v>0</v>
      </c>
      <c r="H51" s="267"/>
    </row>
    <row r="52" spans="1:8" ht="15" customHeight="1" x14ac:dyDescent="0.3">
      <c r="C52" s="64">
        <f>SUBTOTAL(9,C40:C51)</f>
        <v>563250</v>
      </c>
      <c r="D52" s="64">
        <f>SUBTOTAL(9,D40:D51)</f>
        <v>563250</v>
      </c>
      <c r="F52" s="267">
        <f>'Payroll HW Apr24'!AD33-D52+D44</f>
        <v>0</v>
      </c>
    </row>
    <row r="53" spans="1:8" ht="15" customHeight="1" x14ac:dyDescent="0.3">
      <c r="C53" s="62"/>
      <c r="D53" s="62"/>
    </row>
    <row r="54" spans="1:8" ht="15" customHeight="1" x14ac:dyDescent="0.3">
      <c r="C54" s="62"/>
      <c r="D54" s="62"/>
    </row>
    <row r="55" spans="1:8" ht="15" customHeight="1" x14ac:dyDescent="0.3">
      <c r="B55" s="61" t="s">
        <v>186</v>
      </c>
      <c r="C55" s="62"/>
      <c r="D55" s="62"/>
    </row>
    <row r="56" spans="1:8" ht="15" customHeight="1" x14ac:dyDescent="0.3">
      <c r="C56" s="63" t="s">
        <v>57</v>
      </c>
      <c r="D56" s="63" t="s">
        <v>35</v>
      </c>
    </row>
    <row r="57" spans="1:8" ht="15" customHeight="1" x14ac:dyDescent="0.3">
      <c r="A57" s="59" t="s">
        <v>116</v>
      </c>
      <c r="B57" s="52" t="s">
        <v>117</v>
      </c>
      <c r="C57" s="62">
        <f>SUMIFS(Master!$AD$8:$AD$58,Master!$M$8:$M$58,'Journal Entry'!C56,Master!$N$8:$N$58,'Journal Entry'!D56)</f>
        <v>490952.38095238095</v>
      </c>
      <c r="D57" s="62"/>
      <c r="H57" s="267">
        <f t="shared" ref="H57:H64" si="3">+C57-D57</f>
        <v>490952.38095238095</v>
      </c>
    </row>
    <row r="58" spans="1:8" ht="15" customHeight="1" x14ac:dyDescent="0.3">
      <c r="A58" s="59" t="s">
        <v>116</v>
      </c>
      <c r="B58" s="52" t="s">
        <v>407</v>
      </c>
      <c r="C58" s="62">
        <f>SUMIFS(Master!$BG$8:$BG$58,Master!$M$8:$M$58,'Journal Entry'!C$56,Master!$N$8:$N$58,'Journal Entry'!D$56)</f>
        <v>1250</v>
      </c>
      <c r="D58" s="62"/>
      <c r="H58" s="267">
        <f t="shared" si="3"/>
        <v>1250</v>
      </c>
    </row>
    <row r="59" spans="1:8" ht="15" customHeight="1" x14ac:dyDescent="0.3">
      <c r="A59" s="59" t="s">
        <v>118</v>
      </c>
      <c r="B59" s="68" t="s">
        <v>179</v>
      </c>
      <c r="C59" s="62"/>
      <c r="D59" s="62">
        <f>SUMIFS(Master!$AE$8:$AE$58,Master!$M$8:$M$58,'Journal Entry'!C$56,Master!$N$8:$N$58,'Journal Entry'!D$56)</f>
        <v>10795.85</v>
      </c>
      <c r="H59" s="267">
        <f t="shared" si="3"/>
        <v>-10795.85</v>
      </c>
    </row>
    <row r="60" spans="1:8" ht="15" customHeight="1" x14ac:dyDescent="0.3">
      <c r="A60" s="59" t="s">
        <v>118</v>
      </c>
      <c r="B60" s="68" t="s">
        <v>406</v>
      </c>
      <c r="C60" s="62"/>
      <c r="D60" s="62">
        <f>SUMIFS(Master!$AF$8:$AF$58,Master!$M$8:$M$58,'Journal Entry'!C$56,Master!$N$8:$N$58,'Journal Entry'!D$56)</f>
        <v>250</v>
      </c>
      <c r="H60" s="267">
        <f t="shared" si="3"/>
        <v>-250</v>
      </c>
    </row>
    <row r="61" spans="1:8" ht="15" customHeight="1" x14ac:dyDescent="0.3">
      <c r="A61" s="59" t="s">
        <v>118</v>
      </c>
      <c r="B61" s="68" t="s">
        <v>406</v>
      </c>
      <c r="C61" s="62"/>
      <c r="D61" s="62">
        <f>SUMIFS(Master!$BG$8:$BG$58,Master!$M$8:$M$58,'Journal Entry'!C$56,Master!$N$8:$N$58,'Journal Entry'!D$56)</f>
        <v>1250</v>
      </c>
      <c r="H61" s="267">
        <f t="shared" si="3"/>
        <v>-1250</v>
      </c>
    </row>
    <row r="62" spans="1:8" ht="15" customHeight="1" x14ac:dyDescent="0.3">
      <c r="A62" s="59" t="s">
        <v>118</v>
      </c>
      <c r="B62" s="68" t="s">
        <v>181</v>
      </c>
      <c r="C62" s="62"/>
      <c r="D62" s="62">
        <f>SUMIFS(Master!$AG$8:$AG$58,Master!$M$8:$M$58,'Journal Entry'!C$56,Master!$N$8:$N$58,'Journal Entry'!D$56)-D64</f>
        <v>0</v>
      </c>
      <c r="H62" s="267">
        <f t="shared" si="3"/>
        <v>0</v>
      </c>
    </row>
    <row r="63" spans="1:8" ht="15" customHeight="1" x14ac:dyDescent="0.3">
      <c r="A63" s="59" t="s">
        <v>118</v>
      </c>
      <c r="B63" s="68" t="s">
        <v>182</v>
      </c>
      <c r="C63" s="62"/>
      <c r="D63" s="62">
        <f>SUMIFS(Master!$AH$8:$AH$58,Master!$M$8:$M$58,'Journal Entry'!C$56,Master!$N$8:$N$58,'Journal Entry'!D$56)</f>
        <v>0</v>
      </c>
      <c r="G63" s="134"/>
      <c r="H63" s="267">
        <f t="shared" si="3"/>
        <v>0</v>
      </c>
    </row>
    <row r="64" spans="1:8" ht="15" customHeight="1" x14ac:dyDescent="0.3">
      <c r="A64" s="59" t="s">
        <v>118</v>
      </c>
      <c r="B64" s="68" t="s">
        <v>180</v>
      </c>
      <c r="C64" s="62"/>
      <c r="D64" s="62">
        <f>SUMIFS(Master!$U$8:$U$58,Master!$M$8:$M$58,'Journal Entry'!C$56,Master!$N$8:$N$58,'Journal Entry'!D$56)-SUMIFS(Master!$P$8:$P$58,Master!$M$8:$M$58,'Journal Entry'!C$56,Master!$N$8:$N$58,'Journal Entry'!D$56)</f>
        <v>0</v>
      </c>
      <c r="H64" s="267">
        <f t="shared" si="3"/>
        <v>0</v>
      </c>
    </row>
    <row r="65" spans="1:12" ht="15" customHeight="1" x14ac:dyDescent="0.3">
      <c r="A65" s="59" t="s">
        <v>118</v>
      </c>
      <c r="B65" s="68" t="s">
        <v>101</v>
      </c>
      <c r="C65" s="62"/>
      <c r="D65" s="62">
        <f>SUMIFS(Master!$AN$8:$AN$58,Master!$M$8:$M$58,'Journal Entry'!C$56,Master!$N$8:$N$58,'Journal Entry'!D$56)+SUMIFS(Master!$AP$8:$AP$58,Master!$M$8:$M$58,'Journal Entry'!C$56,Master!$N$8:$N$58,'Journal Entry'!D$56)+SUMIFS(Master!$AQ$8:$AQ$58,Master!$M$8:$M$58,'Journal Entry'!C$56,Master!$N$8:$N$58,'Journal Entry'!D$56)</f>
        <v>479906.53095238097</v>
      </c>
      <c r="H65" s="757">
        <f>C65-D65+C66-D66+C67-D67+C68-D68</f>
        <v>-479906.53095238097</v>
      </c>
    </row>
    <row r="66" spans="1:12" ht="15" customHeight="1" x14ac:dyDescent="0.3">
      <c r="A66" s="59" t="s">
        <v>118</v>
      </c>
      <c r="B66" s="68" t="s">
        <v>120</v>
      </c>
      <c r="C66" s="62"/>
      <c r="D66" s="62">
        <f>SUMIFS(Master!$AO$8:$AO$58,Master!$M$8:$M$58,'Journal Entry'!C56,Master!$N$8:$N$58,'Journal Entry'!D56)</f>
        <v>0</v>
      </c>
      <c r="H66" s="267"/>
      <c r="K66"/>
      <c r="L66"/>
    </row>
    <row r="67" spans="1:12" ht="15" customHeight="1" x14ac:dyDescent="0.3">
      <c r="A67" s="59" t="s">
        <v>118</v>
      </c>
      <c r="B67" s="68" t="s">
        <v>26</v>
      </c>
      <c r="C67" s="62"/>
      <c r="D67" s="62">
        <f>SUMIFS(Master!$AR$8:$AR$58,Master!$M$8:$M$58,'Journal Entry'!C56,Master!$N$8:$N$58,'Journal Entry'!D56)</f>
        <v>0</v>
      </c>
      <c r="H67" s="267"/>
      <c r="K67"/>
      <c r="L67"/>
    </row>
    <row r="68" spans="1:12" ht="15" customHeight="1" x14ac:dyDescent="0.3">
      <c r="A68" s="59" t="s">
        <v>118</v>
      </c>
      <c r="B68" s="68" t="s">
        <v>184</v>
      </c>
      <c r="C68" s="62"/>
      <c r="D68" s="62">
        <f>SUMIFS(Master!$AT$8:$AT$58,Master!$M$8:$M$58,'Journal Entry'!C56,Master!$N$8:$N$58,'Journal Entry'!D56)</f>
        <v>0</v>
      </c>
      <c r="H68" s="267"/>
      <c r="K68"/>
      <c r="L68"/>
    </row>
    <row r="69" spans="1:12" ht="15" customHeight="1" x14ac:dyDescent="0.3">
      <c r="C69" s="64">
        <f>SUBTOTAL(9,C57:C68)</f>
        <v>492202.38095238095</v>
      </c>
      <c r="D69" s="64">
        <f>SUBTOTAL(9,D57:D68)</f>
        <v>492202.38095238095</v>
      </c>
      <c r="F69" s="267">
        <f>'Payroll HW Apr24'!AD52-D69+D61</f>
        <v>0</v>
      </c>
      <c r="K69"/>
      <c r="L69"/>
    </row>
    <row r="70" spans="1:12" ht="15" customHeight="1" x14ac:dyDescent="0.3">
      <c r="C70" s="62"/>
      <c r="D70" s="62"/>
      <c r="K70"/>
      <c r="L70"/>
    </row>
    <row r="71" spans="1:12" ht="15" customHeight="1" x14ac:dyDescent="0.3">
      <c r="B71" s="61" t="s">
        <v>277</v>
      </c>
      <c r="C71" s="62"/>
      <c r="D71" s="62"/>
    </row>
    <row r="72" spans="1:12" ht="15" customHeight="1" x14ac:dyDescent="0.3">
      <c r="C72" s="63" t="s">
        <v>57</v>
      </c>
      <c r="D72" s="63" t="s">
        <v>277</v>
      </c>
    </row>
    <row r="73" spans="1:12" ht="15" customHeight="1" x14ac:dyDescent="0.3">
      <c r="A73" s="59" t="s">
        <v>116</v>
      </c>
      <c r="B73" s="52" t="s">
        <v>117</v>
      </c>
      <c r="C73" s="62">
        <f>SUMIFS(Master!$AD$8:$AD$58,Master!$M$8:$M$58,'Journal Entry'!C72,Master!$N$8:$N$58,'Journal Entry'!D72)</f>
        <v>560000</v>
      </c>
      <c r="D73" s="62"/>
      <c r="H73" s="267">
        <f t="shared" ref="H73:H80" si="4">+C73-D73</f>
        <v>560000</v>
      </c>
    </row>
    <row r="74" spans="1:12" ht="15" customHeight="1" x14ac:dyDescent="0.3">
      <c r="A74" s="59" t="s">
        <v>116</v>
      </c>
      <c r="B74" s="52" t="s">
        <v>407</v>
      </c>
      <c r="C74" s="62">
        <f>SUMIFS(Master!$BG$8:$BG$58,Master!$M$8:$M$58,'Journal Entry'!C$72,Master!$N$8:$N$58,'Journal Entry'!D$72)</f>
        <v>3750</v>
      </c>
      <c r="D74" s="62"/>
      <c r="H74" s="267">
        <f t="shared" si="4"/>
        <v>3750</v>
      </c>
    </row>
    <row r="75" spans="1:12" ht="15" customHeight="1" x14ac:dyDescent="0.3">
      <c r="A75" s="59" t="s">
        <v>118</v>
      </c>
      <c r="B75" s="68" t="s">
        <v>179</v>
      </c>
      <c r="C75" s="62"/>
      <c r="D75" s="62">
        <f>SUMIFS(Master!$AE$8:$AE$58,Master!$M$8:$M$58,'Journal Entry'!C$72,Master!$N$8:$N$58,'Journal Entry'!D$72)</f>
        <v>14868</v>
      </c>
      <c r="H75" s="267">
        <f t="shared" si="4"/>
        <v>-14868</v>
      </c>
    </row>
    <row r="76" spans="1:12" ht="15" customHeight="1" x14ac:dyDescent="0.3">
      <c r="A76" s="59" t="s">
        <v>118</v>
      </c>
      <c r="B76" s="68" t="s">
        <v>406</v>
      </c>
      <c r="C76" s="62"/>
      <c r="D76" s="62">
        <f>SUMIFS(Master!$AF$8:$AF$58,Master!$M$8:$M$58,'Journal Entry'!C$72,Master!$N$8:$N$58,'Journal Entry'!D$72)</f>
        <v>750</v>
      </c>
      <c r="H76" s="267">
        <f t="shared" si="4"/>
        <v>-750</v>
      </c>
    </row>
    <row r="77" spans="1:12" ht="15" customHeight="1" x14ac:dyDescent="0.3">
      <c r="A77" s="59" t="s">
        <v>118</v>
      </c>
      <c r="B77" s="68" t="s">
        <v>406</v>
      </c>
      <c r="C77" s="62"/>
      <c r="D77" s="62">
        <f>SUMIFS(Master!$BG$8:$BG$58,Master!$M$8:$M$58,'Journal Entry'!C$72,Master!$N$8:$N$58,'Journal Entry'!D$72)</f>
        <v>3750</v>
      </c>
      <c r="H77" s="267">
        <f t="shared" si="4"/>
        <v>-3750</v>
      </c>
    </row>
    <row r="78" spans="1:12" ht="15" customHeight="1" x14ac:dyDescent="0.3">
      <c r="A78" s="59" t="s">
        <v>118</v>
      </c>
      <c r="B78" s="68" t="s">
        <v>181</v>
      </c>
      <c r="C78" s="62"/>
      <c r="D78" s="62">
        <f>SUMIFS(Master!$AG$8:$AG$58,Master!$M$8:$M$58,'Journal Entry'!C$72,Master!$N$8:$N$58,'Journal Entry'!D$72)-D80</f>
        <v>0</v>
      </c>
      <c r="H78" s="267">
        <f t="shared" si="4"/>
        <v>0</v>
      </c>
    </row>
    <row r="79" spans="1:12" ht="15" customHeight="1" x14ac:dyDescent="0.3">
      <c r="A79" s="59" t="s">
        <v>118</v>
      </c>
      <c r="B79" s="68" t="s">
        <v>182</v>
      </c>
      <c r="C79" s="62"/>
      <c r="D79" s="62">
        <f>SUMIFS(Master!$AH$8:$AH$58,Master!$M$8:$M$58,'Journal Entry'!C$72,Master!$N$8:$N$58,'Journal Entry'!D$72)</f>
        <v>10000</v>
      </c>
      <c r="G79" s="134"/>
      <c r="H79" s="267">
        <f t="shared" si="4"/>
        <v>-10000</v>
      </c>
    </row>
    <row r="80" spans="1:12" ht="15" customHeight="1" x14ac:dyDescent="0.3">
      <c r="A80" s="59" t="s">
        <v>118</v>
      </c>
      <c r="B80" s="68" t="s">
        <v>180</v>
      </c>
      <c r="C80" s="62"/>
      <c r="D80" s="62">
        <f>SUMIFS(Master!$U$8:$U$58,Master!$M$8:$M$58,'Journal Entry'!C$72,Master!$N$8:$N$58,'Journal Entry'!D$72)-SUMIFS(Master!$P$8:$P$58,Master!$M$8:$M$58,'Journal Entry'!C$72,Master!$N$8:$N$58,'Journal Entry'!D$72)</f>
        <v>0</v>
      </c>
      <c r="H80" s="267">
        <f t="shared" si="4"/>
        <v>0</v>
      </c>
    </row>
    <row r="81" spans="1:12" ht="15" customHeight="1" x14ac:dyDescent="0.3">
      <c r="A81" s="59" t="s">
        <v>118</v>
      </c>
      <c r="B81" s="68" t="s">
        <v>101</v>
      </c>
      <c r="C81" s="62"/>
      <c r="D81" s="62">
        <f>SUMIFS(Master!$AN$8:$AN$58,Master!$M$8:$M$58,'Journal Entry'!C$72,Master!$N$8:$N$58,'Journal Entry'!D$72)+SUMIFS(Master!$AP$8:$AP$58,Master!$M$8:$M$58,'Journal Entry'!C$72,Master!$N$8:$N$58,'Journal Entry'!D$72)+SUMIFS(Master!$AQ$8:$AQ$58,Master!$M$8:$M$58,'Journal Entry'!C$72,Master!$N$8:$N$58,'Journal Entry'!D$72)</f>
        <v>534382</v>
      </c>
      <c r="H81" s="757">
        <f>C81-D81+C82-D82+C83-D83+C84-D84</f>
        <v>-534382</v>
      </c>
    </row>
    <row r="82" spans="1:12" ht="15" customHeight="1" x14ac:dyDescent="0.3">
      <c r="A82" s="59" t="s">
        <v>118</v>
      </c>
      <c r="B82" s="68" t="s">
        <v>120</v>
      </c>
      <c r="C82" s="62"/>
      <c r="D82" s="62">
        <f>SUMIFS(Master!$AO$8:$AO$58,Master!$M$8:$M$58,'Journal Entry'!C72,Master!$N$8:$N$58,'Journal Entry'!D72)</f>
        <v>0</v>
      </c>
      <c r="K82"/>
      <c r="L82"/>
    </row>
    <row r="83" spans="1:12" ht="15" customHeight="1" x14ac:dyDescent="0.3">
      <c r="A83" s="59" t="s">
        <v>118</v>
      </c>
      <c r="B83" s="68" t="s">
        <v>26</v>
      </c>
      <c r="C83" s="62"/>
      <c r="D83" s="62">
        <f>SUMIFS(Master!$AR$8:$AR$58,Master!$M$8:$M$58,'Journal Entry'!C72,Master!$N$8:$N$58,'Journal Entry'!D72)</f>
        <v>0</v>
      </c>
      <c r="K83"/>
      <c r="L83"/>
    </row>
    <row r="84" spans="1:12" ht="15" customHeight="1" x14ac:dyDescent="0.3">
      <c r="A84" s="59" t="s">
        <v>118</v>
      </c>
      <c r="B84" s="68" t="s">
        <v>184</v>
      </c>
      <c r="C84" s="62"/>
      <c r="D84" s="62">
        <f>SUMIFS(Master!$AT$8:$AT$58,Master!$M$8:$M$58,'Journal Entry'!C72,Master!$N$8:$N$58,'Journal Entry'!D72)</f>
        <v>0</v>
      </c>
      <c r="K84"/>
      <c r="L84"/>
    </row>
    <row r="85" spans="1:12" ht="15" customHeight="1" x14ac:dyDescent="0.3">
      <c r="C85" s="64">
        <f>SUBTOTAL(9,C73:C84)</f>
        <v>563750</v>
      </c>
      <c r="D85" s="64">
        <f>SUBTOTAL(9,D73:D84)</f>
        <v>563750</v>
      </c>
      <c r="F85" s="267">
        <f>'Payroll HW Apr24'!AD40-D85+D77</f>
        <v>0</v>
      </c>
      <c r="K85"/>
      <c r="L85"/>
    </row>
    <row r="86" spans="1:12" ht="15" customHeight="1" x14ac:dyDescent="0.3">
      <c r="B86" s="61" t="s">
        <v>464</v>
      </c>
      <c r="C86" s="62"/>
      <c r="D86" s="62"/>
    </row>
    <row r="87" spans="1:12" ht="15" customHeight="1" x14ac:dyDescent="0.3">
      <c r="C87" s="63" t="s">
        <v>57</v>
      </c>
      <c r="D87" s="63" t="s">
        <v>169</v>
      </c>
    </row>
    <row r="88" spans="1:12" ht="15" customHeight="1" x14ac:dyDescent="0.3">
      <c r="A88" s="59" t="s">
        <v>116</v>
      </c>
      <c r="B88" s="52" t="s">
        <v>117</v>
      </c>
      <c r="C88" s="62">
        <f>SUMIFS(Master!$AD$8:$AD$58,Master!$M$8:$M$58,'Journal Entry'!C87,Master!$N$8:$N$58,'Journal Entry'!D87)</f>
        <v>130000</v>
      </c>
      <c r="D88" s="62"/>
      <c r="H88" s="267">
        <f t="shared" ref="H88:H95" si="5">+C88-D88</f>
        <v>130000</v>
      </c>
    </row>
    <row r="89" spans="1:12" ht="15" customHeight="1" x14ac:dyDescent="0.3">
      <c r="A89" s="59" t="s">
        <v>116</v>
      </c>
      <c r="B89" s="52" t="s">
        <v>407</v>
      </c>
      <c r="C89" s="62">
        <f>SUMIFS(Master!$BG$8:$BG$58,Master!$M$8:$M$58,'Journal Entry'!C$87,Master!$N$8:$N$58,'Journal Entry'!D$87)</f>
        <v>0</v>
      </c>
      <c r="D89" s="62"/>
      <c r="H89" s="267">
        <f t="shared" si="5"/>
        <v>0</v>
      </c>
    </row>
    <row r="90" spans="1:12" ht="15" customHeight="1" x14ac:dyDescent="0.3">
      <c r="A90" s="59" t="s">
        <v>118</v>
      </c>
      <c r="B90" s="68" t="s">
        <v>179</v>
      </c>
      <c r="C90" s="62"/>
      <c r="D90" s="62">
        <f>SUMIFS(Master!$AE$8:$AE$58,Master!$M$8:$M$58,'Journal Entry'!C$87,Master!$N$8:$N$58,'Journal Entry'!D$87)</f>
        <v>1790.25</v>
      </c>
      <c r="H90" s="267">
        <f t="shared" si="5"/>
        <v>-1790.25</v>
      </c>
    </row>
    <row r="91" spans="1:12" ht="15" customHeight="1" x14ac:dyDescent="0.3">
      <c r="A91" s="59" t="s">
        <v>118</v>
      </c>
      <c r="B91" s="68" t="s">
        <v>406</v>
      </c>
      <c r="C91" s="62"/>
      <c r="D91" s="62">
        <f>SUMIFS(Master!$AF$8:$AF$58,Master!$M$8:$M$58,'Journal Entry'!C$87,Master!$N$8:$N$58,'Journal Entry'!D$87)</f>
        <v>0</v>
      </c>
      <c r="H91" s="267">
        <f t="shared" si="5"/>
        <v>0</v>
      </c>
    </row>
    <row r="92" spans="1:12" ht="15" customHeight="1" x14ac:dyDescent="0.3">
      <c r="A92" s="59" t="s">
        <v>118</v>
      </c>
      <c r="B92" s="68" t="s">
        <v>406</v>
      </c>
      <c r="C92" s="62"/>
      <c r="D92" s="62">
        <f>SUMIFS(Master!$BG$8:$BG$58,Master!$M$8:$M$58,'Journal Entry'!C$87,Master!$N$8:$N$58,'Journal Entry'!D$87)</f>
        <v>0</v>
      </c>
      <c r="H92" s="267">
        <f t="shared" si="5"/>
        <v>0</v>
      </c>
    </row>
    <row r="93" spans="1:12" ht="15" customHeight="1" x14ac:dyDescent="0.3">
      <c r="A93" s="59" t="s">
        <v>118</v>
      </c>
      <c r="B93" s="68" t="s">
        <v>181</v>
      </c>
      <c r="C93" s="62"/>
      <c r="D93" s="62">
        <f>SUMIFS(Master!$AG$8:$AG$58,Master!$M$8:$M$58,'Journal Entry'!C$87,Master!$N$8:$N$58,'Journal Entry'!D$87)-D95</f>
        <v>0</v>
      </c>
      <c r="H93" s="267">
        <f t="shared" si="5"/>
        <v>0</v>
      </c>
    </row>
    <row r="94" spans="1:12" ht="15" customHeight="1" x14ac:dyDescent="0.3">
      <c r="A94" s="59" t="s">
        <v>118</v>
      </c>
      <c r="B94" s="68" t="s">
        <v>182</v>
      </c>
      <c r="C94" s="62"/>
      <c r="D94" s="62">
        <f>SUMIFS(Master!$AH$8:$AH$58,Master!$M$8:$M$58,'Journal Entry'!C$87,Master!$N$8:$N$58,'Journal Entry'!D$87)</f>
        <v>0</v>
      </c>
      <c r="G94" s="134"/>
      <c r="H94" s="267">
        <f t="shared" si="5"/>
        <v>0</v>
      </c>
    </row>
    <row r="95" spans="1:12" ht="15" customHeight="1" x14ac:dyDescent="0.3">
      <c r="A95" s="59" t="s">
        <v>118</v>
      </c>
      <c r="B95" s="68" t="s">
        <v>180</v>
      </c>
      <c r="C95" s="62"/>
      <c r="D95" s="62">
        <f>SUMIFS(Master!$U$8:$U$58,Master!$M$8:$M$58,'Journal Entry'!C$87,Master!$N$8:$N$58,'Journal Entry'!D$87)-SUMIFS(Master!$P$8:$P$58,Master!$M$8:$M$58,'Journal Entry'!C$87,Master!$N$8:$N$58,'Journal Entry'!D$87)</f>
        <v>0</v>
      </c>
      <c r="H95" s="267">
        <f t="shared" si="5"/>
        <v>0</v>
      </c>
    </row>
    <row r="96" spans="1:12" ht="15" customHeight="1" x14ac:dyDescent="0.3">
      <c r="A96" s="59" t="s">
        <v>118</v>
      </c>
      <c r="B96" s="68" t="s">
        <v>101</v>
      </c>
      <c r="C96" s="62"/>
      <c r="D96" s="62">
        <f>SUMIFS(Master!$AN$8:$AN$58,Master!$M$8:$M$58,'Journal Entry'!C$87,Master!$N$8:$N$58,'Journal Entry'!D$87)+SUMIFS(Master!$AP$8:$AP$58,Master!$M$8:$M$58,'Journal Entry'!C$87,Master!$N$8:$N$58,'Journal Entry'!D$87)+SUMIFS(Master!$AQ$8:$AQ$58,Master!$M$8:$M$58,'Journal Entry'!C$87,Master!$N$8:$N$58,'Journal Entry'!D$87)</f>
        <v>128209.75</v>
      </c>
      <c r="H96" s="757">
        <f>C96-D96+C97-D97+C98-D98+C99-D99</f>
        <v>-128209.75</v>
      </c>
    </row>
    <row r="97" spans="1:12" ht="15" customHeight="1" x14ac:dyDescent="0.3">
      <c r="A97" s="59" t="s">
        <v>118</v>
      </c>
      <c r="B97" s="68" t="s">
        <v>120</v>
      </c>
      <c r="C97" s="62"/>
      <c r="D97" s="62">
        <f>SUMIFS(Master!$AO$8:$AO$58,Master!$M$8:$M$58,'Journal Entry'!C87,Master!$N$8:$N$58,'Journal Entry'!D87)</f>
        <v>0</v>
      </c>
      <c r="K97"/>
      <c r="L97"/>
    </row>
    <row r="98" spans="1:12" ht="15" customHeight="1" x14ac:dyDescent="0.3">
      <c r="A98" s="59" t="s">
        <v>118</v>
      </c>
      <c r="B98" s="68" t="s">
        <v>26</v>
      </c>
      <c r="C98" s="62"/>
      <c r="D98" s="62">
        <f>SUMIFS(Master!$AR$8:$AR$58,Master!$M$8:$M$58,'Journal Entry'!C87,Master!$N$8:$N$58,'Journal Entry'!D87)</f>
        <v>0</v>
      </c>
      <c r="K98"/>
      <c r="L98"/>
    </row>
    <row r="99" spans="1:12" ht="15" customHeight="1" x14ac:dyDescent="0.3">
      <c r="A99" s="59" t="s">
        <v>118</v>
      </c>
      <c r="B99" s="68" t="s">
        <v>184</v>
      </c>
      <c r="C99" s="62"/>
      <c r="D99" s="62">
        <f>SUMIFS(Master!$AT$8:$AT$58,Master!$M$8:$M$58,'Journal Entry'!C87,Master!$N$8:$N$58,'Journal Entry'!D87)</f>
        <v>0</v>
      </c>
      <c r="K99"/>
      <c r="L99"/>
    </row>
    <row r="100" spans="1:12" ht="15" customHeight="1" x14ac:dyDescent="0.3">
      <c r="C100" s="64">
        <f>SUBTOTAL(9,C88:C99)</f>
        <v>130000</v>
      </c>
      <c r="D100" s="64">
        <f>SUBTOTAL(9,D88:D99)</f>
        <v>130000</v>
      </c>
      <c r="F100" s="267">
        <f>'Payroll HW Apr24'!AD44-'Journal Entry'!D100+'Journal Entry'!D92</f>
        <v>0</v>
      </c>
      <c r="K100"/>
      <c r="L100"/>
    </row>
    <row r="101" spans="1:12" ht="15" customHeight="1" x14ac:dyDescent="0.3">
      <c r="C101" s="62"/>
      <c r="D101" s="62"/>
      <c r="K101"/>
      <c r="L101"/>
    </row>
    <row r="102" spans="1:12" ht="15" customHeight="1" x14ac:dyDescent="0.3">
      <c r="B102" s="61" t="s">
        <v>187</v>
      </c>
      <c r="C102" s="62"/>
      <c r="D102" s="62"/>
      <c r="K102"/>
      <c r="L102"/>
    </row>
    <row r="103" spans="1:12" ht="15" customHeight="1" x14ac:dyDescent="0.3">
      <c r="C103" s="63" t="s">
        <v>61</v>
      </c>
      <c r="D103" s="63" t="s">
        <v>59</v>
      </c>
      <c r="K103"/>
      <c r="L103"/>
    </row>
    <row r="104" spans="1:12" ht="15" customHeight="1" x14ac:dyDescent="0.3">
      <c r="A104" s="59" t="s">
        <v>116</v>
      </c>
      <c r="B104" s="52" t="s">
        <v>117</v>
      </c>
      <c r="C104" s="62">
        <f>SUMIFS(Master!$AD$8:$AD$58,Master!$M$8:$M$58,'Journal Entry'!C103,Master!$N$8:$N$58,'Journal Entry'!D103)</f>
        <v>0</v>
      </c>
      <c r="D104" s="62"/>
      <c r="H104" s="267">
        <f t="shared" ref="H104:H111" si="6">+C104-D104</f>
        <v>0</v>
      </c>
      <c r="K104"/>
      <c r="L104"/>
    </row>
    <row r="105" spans="1:12" ht="15" customHeight="1" x14ac:dyDescent="0.3">
      <c r="A105" s="59" t="s">
        <v>116</v>
      </c>
      <c r="B105" s="52" t="s">
        <v>407</v>
      </c>
      <c r="C105" s="62">
        <f>SUMIFS(Master!$BG$8:$BG$58,Master!$M$8:$M$58,'Journal Entry'!C$103,Master!$N$8:$N$58,'Journal Entry'!D$103)</f>
        <v>0</v>
      </c>
      <c r="D105" s="62"/>
      <c r="H105" s="267">
        <f t="shared" si="6"/>
        <v>0</v>
      </c>
      <c r="K105"/>
      <c r="L105"/>
    </row>
    <row r="106" spans="1:12" ht="15" customHeight="1" x14ac:dyDescent="0.3">
      <c r="A106" s="59" t="s">
        <v>118</v>
      </c>
      <c r="B106" s="68" t="s">
        <v>179</v>
      </c>
      <c r="C106" s="62"/>
      <c r="D106" s="62">
        <f>SUMIFS(Master!$AE$8:$AE$58,Master!$M$8:$M$58,'Journal Entry'!C$103,Master!$N$8:$N$58,'Journal Entry'!D$103)</f>
        <v>0</v>
      </c>
      <c r="H106" s="267">
        <f t="shared" si="6"/>
        <v>0</v>
      </c>
      <c r="K106"/>
      <c r="L106"/>
    </row>
    <row r="107" spans="1:12" ht="15" customHeight="1" x14ac:dyDescent="0.3">
      <c r="A107" s="59" t="s">
        <v>118</v>
      </c>
      <c r="B107" s="68" t="s">
        <v>406</v>
      </c>
      <c r="C107" s="62"/>
      <c r="D107" s="62">
        <f>SUMIFS(Master!$AF$8:$AF$58,Master!$M$8:$M$58,'Journal Entry'!C$103,Master!$N$8:$N$58,'Journal Entry'!D$103)</f>
        <v>0</v>
      </c>
      <c r="H107" s="267">
        <f t="shared" si="6"/>
        <v>0</v>
      </c>
      <c r="K107"/>
      <c r="L107"/>
    </row>
    <row r="108" spans="1:12" ht="15" customHeight="1" x14ac:dyDescent="0.3">
      <c r="A108" s="59" t="s">
        <v>118</v>
      </c>
      <c r="B108" s="68" t="s">
        <v>406</v>
      </c>
      <c r="C108" s="62"/>
      <c r="D108" s="62">
        <f>SUMIFS(Master!$BG$8:$BG$58,Master!$M$8:$M$58,'Journal Entry'!C$103,Master!$N$8:$N$58,'Journal Entry'!D$103)</f>
        <v>0</v>
      </c>
      <c r="H108" s="267">
        <f t="shared" si="6"/>
        <v>0</v>
      </c>
      <c r="K108"/>
      <c r="L108"/>
    </row>
    <row r="109" spans="1:12" ht="15" customHeight="1" x14ac:dyDescent="0.3">
      <c r="A109" s="59" t="s">
        <v>118</v>
      </c>
      <c r="B109" s="68" t="s">
        <v>181</v>
      </c>
      <c r="C109" s="62"/>
      <c r="D109" s="62">
        <f>SUMIFS(Master!$AG$8:$AG$58,Master!$M$8:$M$58,'Journal Entry'!C$103,Master!$N$8:$N$58,'Journal Entry'!D$103)-D111</f>
        <v>0</v>
      </c>
      <c r="H109" s="267">
        <f t="shared" si="6"/>
        <v>0</v>
      </c>
      <c r="K109"/>
      <c r="L109"/>
    </row>
    <row r="110" spans="1:12" ht="15" customHeight="1" x14ac:dyDescent="0.3">
      <c r="A110" s="59" t="s">
        <v>118</v>
      </c>
      <c r="B110" s="68" t="s">
        <v>182</v>
      </c>
      <c r="C110" s="62"/>
      <c r="D110" s="62">
        <f>SUMIFS(Master!$AH$8:$AH$58,Master!$M$8:$M$58,'Journal Entry'!C$103,Master!$N$8:$N$58,'Journal Entry'!D$103)</f>
        <v>0</v>
      </c>
      <c r="H110" s="267">
        <f t="shared" si="6"/>
        <v>0</v>
      </c>
      <c r="K110"/>
      <c r="L110"/>
    </row>
    <row r="111" spans="1:12" ht="15" customHeight="1" x14ac:dyDescent="0.3">
      <c r="A111" s="59" t="s">
        <v>118</v>
      </c>
      <c r="B111" s="68" t="s">
        <v>180</v>
      </c>
      <c r="C111" s="62"/>
      <c r="D111" s="62">
        <f>SUMIFS(Master!$U$8:$U$58,Master!$M$8:$M$58,'Journal Entry'!C$103,Master!$N$8:$N$58,'Journal Entry'!D$103)-SUMIFS(Master!$P$8:$P$58,Master!$M$8:$M$58,'Journal Entry'!C$103,Master!$N$8:$N$58,'Journal Entry'!D$103)</f>
        <v>0</v>
      </c>
      <c r="H111" s="267">
        <f t="shared" si="6"/>
        <v>0</v>
      </c>
      <c r="K111"/>
      <c r="L111"/>
    </row>
    <row r="112" spans="1:12" ht="15" customHeight="1" x14ac:dyDescent="0.3">
      <c r="A112" s="59" t="s">
        <v>118</v>
      </c>
      <c r="B112" s="68" t="s">
        <v>101</v>
      </c>
      <c r="C112" s="62"/>
      <c r="D112" s="62">
        <f>SUMIFS(Master!$AN$8:$AN$58,Master!$M$8:$M$58,'Journal Entry'!C$103,Master!$N$8:$N$58,'Journal Entry'!D$103)+SUMIFS(Master!$AP$8:$AP$58,Master!$M$8:$M$58,'Journal Entry'!C$103,Master!$N$8:$N$58,'Journal Entry'!D$103)+SUMIFS(Master!$AQ$8:$AQ$58,Master!$M$8:$M$58,'Journal Entry'!C$103,Master!$N$8:$N$58,'Journal Entry'!D$103)</f>
        <v>0</v>
      </c>
      <c r="H112" s="267">
        <f>+C112-D112</f>
        <v>0</v>
      </c>
      <c r="K112"/>
      <c r="L112"/>
    </row>
    <row r="113" spans="1:12" ht="15" customHeight="1" x14ac:dyDescent="0.3">
      <c r="A113" s="59" t="s">
        <v>118</v>
      </c>
      <c r="B113" s="68" t="s">
        <v>120</v>
      </c>
      <c r="C113" s="62"/>
      <c r="D113" s="62">
        <f>SUMIFS(Master!$AO$8:$AO$58,Master!$M$8:$M$58,'Journal Entry'!C103,Master!$N$8:$N$58,'Journal Entry'!D103)</f>
        <v>0</v>
      </c>
      <c r="K113"/>
      <c r="L113"/>
    </row>
    <row r="114" spans="1:12" ht="15" customHeight="1" x14ac:dyDescent="0.3">
      <c r="A114" s="59" t="s">
        <v>118</v>
      </c>
      <c r="B114" s="68" t="s">
        <v>26</v>
      </c>
      <c r="C114" s="62"/>
      <c r="D114" s="62">
        <f>SUMIFS(Master!$AR$8:$AR$58,Master!$M$8:$M$58,'Journal Entry'!C103,Master!$N$8:$N$58,'Journal Entry'!D103)</f>
        <v>0</v>
      </c>
      <c r="K114"/>
      <c r="L114"/>
    </row>
    <row r="115" spans="1:12" ht="15" customHeight="1" x14ac:dyDescent="0.3">
      <c r="A115" s="59" t="s">
        <v>118</v>
      </c>
      <c r="B115" s="68" t="s">
        <v>184</v>
      </c>
      <c r="C115" s="62"/>
      <c r="D115" s="62">
        <f>SUMIFS(Master!$AT$8:$AT$58,Master!$M$8:$M$58,'Journal Entry'!C103,Master!$N$8:$N$58,'Journal Entry'!D103)</f>
        <v>0</v>
      </c>
      <c r="K115"/>
      <c r="L115"/>
    </row>
    <row r="116" spans="1:12" ht="15" customHeight="1" x14ac:dyDescent="0.3">
      <c r="C116" s="64">
        <f>SUBTOTAL(9,C104:C115)</f>
        <v>0</v>
      </c>
      <c r="D116" s="64">
        <f>SUBTOTAL(9,D104:D115)</f>
        <v>0</v>
      </c>
      <c r="F116" s="267">
        <f>+'Payroll DES Apr24'!AD16-D116+D108</f>
        <v>0</v>
      </c>
      <c r="K116"/>
      <c r="L116"/>
    </row>
    <row r="117" spans="1:12" ht="15" customHeight="1" x14ac:dyDescent="0.3">
      <c r="C117" s="62"/>
      <c r="D117" s="62"/>
      <c r="K117"/>
      <c r="L117"/>
    </row>
    <row r="118" spans="1:12" ht="15" customHeight="1" x14ac:dyDescent="0.3">
      <c r="B118" s="61" t="s">
        <v>188</v>
      </c>
      <c r="C118" s="62"/>
      <c r="D118" s="62"/>
      <c r="K118"/>
      <c r="L118"/>
    </row>
    <row r="119" spans="1:12" ht="15" customHeight="1" x14ac:dyDescent="0.3">
      <c r="C119" s="63" t="s">
        <v>183</v>
      </c>
      <c r="D119" s="63" t="s">
        <v>183</v>
      </c>
      <c r="K119"/>
      <c r="L119"/>
    </row>
    <row r="120" spans="1:12" ht="15" customHeight="1" x14ac:dyDescent="0.3">
      <c r="A120" s="59" t="s">
        <v>116</v>
      </c>
      <c r="B120" s="52" t="s">
        <v>117</v>
      </c>
      <c r="C120" s="62">
        <f>SUMIFS(Master!$AD$8:$AD$58,Master!$M$8:$M$58,'Journal Entry'!C119,Master!$N$8:$N$58,'Journal Entry'!D119)</f>
        <v>246428.57142857142</v>
      </c>
      <c r="D120" s="62"/>
      <c r="H120" s="267">
        <f t="shared" ref="H120:H127" si="7">+C120-D120</f>
        <v>246428.57142857142</v>
      </c>
      <c r="K120"/>
      <c r="L120"/>
    </row>
    <row r="121" spans="1:12" ht="15" customHeight="1" x14ac:dyDescent="0.3">
      <c r="A121" s="59" t="s">
        <v>116</v>
      </c>
      <c r="B121" s="52" t="s">
        <v>407</v>
      </c>
      <c r="C121" s="62">
        <f>SUMIFS(Master!$BG$8:$BG$58,Master!$M$8:$M$58,'Journal Entry'!C$119,Master!$N$8:$N$58,'Journal Entry'!D$119)</f>
        <v>0</v>
      </c>
      <c r="D121" s="62"/>
      <c r="H121" s="267">
        <f t="shared" si="7"/>
        <v>0</v>
      </c>
      <c r="K121"/>
      <c r="L121"/>
    </row>
    <row r="122" spans="1:12" ht="15" customHeight="1" x14ac:dyDescent="0.3">
      <c r="A122" s="59" t="s">
        <v>118</v>
      </c>
      <c r="B122" s="68" t="s">
        <v>179</v>
      </c>
      <c r="C122" s="62"/>
      <c r="D122" s="62">
        <f>SUMIFS(Master!$AE$8:$AE$58,Master!$M$8:$M$58,'Journal Entry'!C$119,Master!$N$8:$N$58,'Journal Entry'!D$119)</f>
        <v>0</v>
      </c>
      <c r="H122" s="267">
        <f t="shared" si="7"/>
        <v>0</v>
      </c>
      <c r="K122"/>
      <c r="L122"/>
    </row>
    <row r="123" spans="1:12" ht="15" customHeight="1" x14ac:dyDescent="0.3">
      <c r="A123" s="59" t="s">
        <v>118</v>
      </c>
      <c r="B123" s="68" t="s">
        <v>406</v>
      </c>
      <c r="C123" s="62"/>
      <c r="D123" s="62">
        <f>SUMIFS(Master!$AF$8:$AF$58,Master!$M$8:$M$58,'Journal Entry'!C$119,Master!$N$8:$N$58,'Journal Entry'!D$119)</f>
        <v>0</v>
      </c>
      <c r="H123" s="267">
        <f t="shared" si="7"/>
        <v>0</v>
      </c>
      <c r="K123"/>
      <c r="L123"/>
    </row>
    <row r="124" spans="1:12" ht="15" customHeight="1" x14ac:dyDescent="0.3">
      <c r="A124" s="59" t="s">
        <v>118</v>
      </c>
      <c r="B124" s="68" t="s">
        <v>406</v>
      </c>
      <c r="C124" s="62"/>
      <c r="D124" s="62">
        <f>SUMIFS(Master!$BG$8:$BG$58,Master!$M$8:$M$58,'Journal Entry'!C$119,Master!$N$8:$N$58,'Journal Entry'!D$119)</f>
        <v>0</v>
      </c>
      <c r="H124" s="267">
        <f t="shared" si="7"/>
        <v>0</v>
      </c>
      <c r="K124"/>
      <c r="L124"/>
    </row>
    <row r="125" spans="1:12" ht="15" customHeight="1" x14ac:dyDescent="0.3">
      <c r="A125" s="59" t="s">
        <v>118</v>
      </c>
      <c r="B125" s="68" t="s">
        <v>181</v>
      </c>
      <c r="C125" s="62"/>
      <c r="D125" s="62">
        <f>SUMIFS(Master!$AG$8:$AG$58,Master!$M$8:$M$58,'Journal Entry'!C$119,Master!$N$8:$N$58,'Journal Entry'!D$119)-D127</f>
        <v>0</v>
      </c>
      <c r="H125" s="267">
        <f t="shared" si="7"/>
        <v>0</v>
      </c>
      <c r="K125"/>
      <c r="L125"/>
    </row>
    <row r="126" spans="1:12" ht="15" customHeight="1" x14ac:dyDescent="0.3">
      <c r="A126" s="59" t="s">
        <v>118</v>
      </c>
      <c r="B126" s="68" t="s">
        <v>182</v>
      </c>
      <c r="C126" s="62"/>
      <c r="D126" s="62">
        <f>SUMIFS(Master!$AH$8:$AH$58,Master!$M$8:$M$58,'Journal Entry'!C$119,Master!$N$8:$N$58,'Journal Entry'!D$119)</f>
        <v>0</v>
      </c>
      <c r="H126" s="267">
        <f t="shared" si="7"/>
        <v>0</v>
      </c>
      <c r="K126"/>
      <c r="L126"/>
    </row>
    <row r="127" spans="1:12" ht="15" customHeight="1" x14ac:dyDescent="0.3">
      <c r="A127" s="59" t="s">
        <v>118</v>
      </c>
      <c r="B127" s="68" t="s">
        <v>180</v>
      </c>
      <c r="C127" s="62"/>
      <c r="D127" s="62">
        <f>SUMIFS(Master!$U$8:$U$58,Master!$M$8:$M$58,'Journal Entry'!C$119,Master!$N$8:$N$58,'Journal Entry'!D$119)-SUMIFS(Master!$P$8:$P$58,Master!$M$8:$M$58,'Journal Entry'!C$119,Master!$N$8:$N$58,'Journal Entry'!D$119)</f>
        <v>0</v>
      </c>
      <c r="H127" s="267">
        <f t="shared" si="7"/>
        <v>0</v>
      </c>
      <c r="K127"/>
      <c r="L127"/>
    </row>
    <row r="128" spans="1:12" ht="15" customHeight="1" x14ac:dyDescent="0.3">
      <c r="A128" s="59" t="s">
        <v>118</v>
      </c>
      <c r="B128" s="68" t="s">
        <v>101</v>
      </c>
      <c r="C128" s="62"/>
      <c r="D128" s="62">
        <f>SUMIFS(Master!$AN$8:$AN$58,Master!$M$8:$M$58,'Journal Entry'!C$119,Master!$N$8:$N$58,'Journal Entry'!D$119)+SUMIFS(Master!$AP$8:$AP$58,Master!$M$8:$M$58,'Journal Entry'!C$119,Master!$N$8:$N$58,'Journal Entry'!D$119)+SUMIFS(Master!$AQ$8:$AQ$58,Master!$M$8:$M$58,'Journal Entry'!C$119,Master!$N$8:$N$58,'Journal Entry'!D$119)</f>
        <v>246428.57142857142</v>
      </c>
      <c r="H128" s="267">
        <f>+C128-D128-D131</f>
        <v>-246428.57142857142</v>
      </c>
      <c r="K128"/>
      <c r="L128"/>
    </row>
    <row r="129" spans="1:12" ht="15" customHeight="1" x14ac:dyDescent="0.3">
      <c r="A129" s="59" t="s">
        <v>118</v>
      </c>
      <c r="B129" s="68" t="s">
        <v>120</v>
      </c>
      <c r="C129" s="62"/>
      <c r="D129" s="62">
        <f>SUMIFS(Master!$AO$8:$AO$58,Master!$M$8:$M$58,'Journal Entry'!C119,Master!$N$8:$N$58,'Journal Entry'!D119)</f>
        <v>0</v>
      </c>
      <c r="K129"/>
      <c r="L129"/>
    </row>
    <row r="130" spans="1:12" ht="15" customHeight="1" x14ac:dyDescent="0.3">
      <c r="A130" s="59" t="s">
        <v>118</v>
      </c>
      <c r="B130" s="68" t="s">
        <v>26</v>
      </c>
      <c r="C130" s="62"/>
      <c r="D130" s="62">
        <f>SUMIFS(Master!$AR$8:$AR$58,Master!$M$8:$M$58,'Journal Entry'!C119,Master!$N$8:$N$58,'Journal Entry'!D119)</f>
        <v>0</v>
      </c>
      <c r="K130"/>
      <c r="L130"/>
    </row>
    <row r="131" spans="1:12" ht="15" customHeight="1" x14ac:dyDescent="0.3">
      <c r="A131" s="59" t="s">
        <v>118</v>
      </c>
      <c r="B131" s="68" t="s">
        <v>184</v>
      </c>
      <c r="C131" s="62"/>
      <c r="D131" s="62">
        <f>SUMIFS(Master!$AT$8:$AT$58,Master!$M$8:$M$58,'Journal Entry'!C119,Master!$N$8:$N$58,'Journal Entry'!D119)</f>
        <v>0</v>
      </c>
      <c r="K131"/>
      <c r="L131"/>
    </row>
    <row r="132" spans="1:12" ht="15" customHeight="1" x14ac:dyDescent="0.3">
      <c r="C132" s="64">
        <f>SUBTOTAL(9,C120:C131)</f>
        <v>246428.57142857142</v>
      </c>
      <c r="D132" s="64">
        <f>SUBTOTAL(9,D120:D131)</f>
        <v>246428.57142857142</v>
      </c>
      <c r="E132" s="51" t="str">
        <f>IF(ISNUMBER(C132),"",IF(OR(D132=0,ISTEXT(D132)),"HIDE",""))</f>
        <v/>
      </c>
      <c r="F132" s="267">
        <f>'Payroll DES Apr24'!AD11-D132+D124</f>
        <v>0</v>
      </c>
      <c r="K132"/>
      <c r="L132"/>
    </row>
    <row r="133" spans="1:12" ht="15" customHeight="1" x14ac:dyDescent="0.3">
      <c r="C133" s="62"/>
      <c r="D133" s="62"/>
      <c r="K133"/>
      <c r="L133"/>
    </row>
    <row r="134" spans="1:12" ht="15" customHeight="1" thickBot="1" x14ac:dyDescent="0.35">
      <c r="C134" s="65">
        <f>SUBTOTAL(9,C6:C133)</f>
        <v>3204911.6541353385</v>
      </c>
      <c r="D134" s="65">
        <f>SUBTOTAL(9,D6:D133)</f>
        <v>3204912.0541353384</v>
      </c>
      <c r="E134" s="268">
        <f>+Master!AD56</f>
        <v>3192411.654135338</v>
      </c>
      <c r="F134" s="268">
        <f>Master!BG56</f>
        <v>12500</v>
      </c>
      <c r="G134" s="268">
        <f>E134+F134</f>
        <v>3204911.654135338</v>
      </c>
      <c r="H134" s="268">
        <f>+D134-G134</f>
        <v>0.40000000037252903</v>
      </c>
      <c r="K134"/>
      <c r="L134"/>
    </row>
    <row r="135" spans="1:12" ht="15" customHeight="1" thickTop="1" x14ac:dyDescent="0.3">
      <c r="K135"/>
      <c r="L135"/>
    </row>
    <row r="136" spans="1:12" ht="15" customHeight="1" x14ac:dyDescent="0.3">
      <c r="K136"/>
      <c r="L136"/>
    </row>
    <row r="137" spans="1:12" ht="15" customHeight="1" x14ac:dyDescent="0.3">
      <c r="K137"/>
      <c r="L137"/>
    </row>
    <row r="138" spans="1:12" ht="15" customHeight="1" x14ac:dyDescent="0.3">
      <c r="A138" s="66" t="s">
        <v>193</v>
      </c>
      <c r="D138" s="67" t="s">
        <v>194</v>
      </c>
      <c r="K138"/>
      <c r="L138"/>
    </row>
    <row r="139" spans="1:12" ht="15" customHeight="1" x14ac:dyDescent="0.3">
      <c r="K139"/>
      <c r="L139"/>
    </row>
    <row r="140" spans="1:12" ht="15" customHeight="1" x14ac:dyDescent="0.3">
      <c r="K140"/>
      <c r="L140"/>
    </row>
    <row r="141" spans="1:12" ht="15" customHeight="1" x14ac:dyDescent="0.3">
      <c r="K141"/>
      <c r="L141"/>
    </row>
  </sheetData>
  <autoFilter ref="A5:L131" xr:uid="{FDE93D0E-3D9E-4C98-B6EB-FDF5D0791AAD}"/>
  <mergeCells count="2">
    <mergeCell ref="A1:D1"/>
    <mergeCell ref="A2:D2"/>
  </mergeCells>
  <pageMargins left="0.7" right="0.7" top="0.5" bottom="0.5" header="0.3" footer="0.3"/>
  <pageSetup orientation="portrait" r:id="rId1"/>
  <rowBreaks count="3" manualBreakCount="3">
    <brk id="37" max="4" man="1"/>
    <brk id="70" max="4" man="1"/>
    <brk id="101" max="4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97D0A-35CB-474D-84D3-74125AD9759A}">
  <sheetPr codeName="Sheet7"/>
  <dimension ref="A1:I76"/>
  <sheetViews>
    <sheetView topLeftCell="A19" workbookViewId="0">
      <selection activeCell="I41" sqref="I41"/>
    </sheetView>
  </sheetViews>
  <sheetFormatPr defaultRowHeight="14.4" x14ac:dyDescent="0.3"/>
  <cols>
    <col min="1" max="1" width="9.5546875" bestFit="1" customWidth="1"/>
    <col min="2" max="2" width="7.109375" bestFit="1" customWidth="1"/>
    <col min="3" max="3" width="17" bestFit="1" customWidth="1"/>
    <col min="4" max="4" width="8.33203125" bestFit="1" customWidth="1"/>
    <col min="5" max="5" width="27.44140625" bestFit="1" customWidth="1"/>
    <col min="6" max="6" width="19.5546875" bestFit="1" customWidth="1"/>
    <col min="7" max="7" width="8.77734375" bestFit="1" customWidth="1"/>
    <col min="8" max="8" width="9" bestFit="1" customWidth="1"/>
    <col min="9" max="9" width="45.5546875" bestFit="1" customWidth="1"/>
  </cols>
  <sheetData>
    <row r="1" spans="1:9" x14ac:dyDescent="0.3">
      <c r="A1" t="s">
        <v>472</v>
      </c>
      <c r="B1" t="s">
        <v>473</v>
      </c>
      <c r="C1" t="s">
        <v>474</v>
      </c>
      <c r="D1" t="s">
        <v>475</v>
      </c>
      <c r="E1" t="s">
        <v>476</v>
      </c>
      <c r="F1" t="s">
        <v>477</v>
      </c>
      <c r="G1" t="s">
        <v>478</v>
      </c>
      <c r="H1" t="s">
        <v>479</v>
      </c>
      <c r="I1" t="s">
        <v>480</v>
      </c>
    </row>
    <row r="2" spans="1:9" x14ac:dyDescent="0.3">
      <c r="A2" t="s">
        <v>481</v>
      </c>
      <c r="B2" t="s">
        <v>482</v>
      </c>
      <c r="C2" t="s">
        <v>474</v>
      </c>
      <c r="D2" t="s">
        <v>475</v>
      </c>
      <c r="E2" t="s">
        <v>476</v>
      </c>
      <c r="F2" t="s">
        <v>477</v>
      </c>
      <c r="G2" t="s">
        <v>478</v>
      </c>
      <c r="H2" t="s">
        <v>479</v>
      </c>
      <c r="I2" t="s">
        <v>480</v>
      </c>
    </row>
    <row r="3" spans="1:9" x14ac:dyDescent="0.3">
      <c r="A3" t="s">
        <v>483</v>
      </c>
    </row>
    <row r="4" spans="1:9" x14ac:dyDescent="0.3">
      <c r="A4" t="s">
        <v>484</v>
      </c>
      <c r="B4">
        <v>202312</v>
      </c>
      <c r="C4" t="s">
        <v>485</v>
      </c>
      <c r="D4" s="536">
        <v>45291</v>
      </c>
      <c r="E4" t="s">
        <v>486</v>
      </c>
      <c r="F4" t="s">
        <v>487</v>
      </c>
      <c r="G4">
        <f>'Journal Entry'!C8</f>
        <v>612263.15789473685</v>
      </c>
      <c r="I4" t="s">
        <v>488</v>
      </c>
    </row>
    <row r="5" spans="1:9" x14ac:dyDescent="0.3">
      <c r="A5" t="s">
        <v>489</v>
      </c>
      <c r="B5">
        <v>202312</v>
      </c>
      <c r="C5" t="s">
        <v>485</v>
      </c>
      <c r="D5" s="536">
        <v>45291</v>
      </c>
      <c r="E5" t="s">
        <v>486</v>
      </c>
      <c r="F5" t="s">
        <v>487</v>
      </c>
      <c r="G5">
        <f>'Journal Entry'!C9</f>
        <v>3750</v>
      </c>
      <c r="I5" t="s">
        <v>488</v>
      </c>
    </row>
    <row r="6" spans="1:9" x14ac:dyDescent="0.3">
      <c r="A6" t="s">
        <v>489</v>
      </c>
      <c r="B6">
        <v>202312</v>
      </c>
      <c r="C6" t="s">
        <v>485</v>
      </c>
      <c r="D6" s="536">
        <v>45291</v>
      </c>
      <c r="E6" t="s">
        <v>490</v>
      </c>
      <c r="F6" t="s">
        <v>487</v>
      </c>
      <c r="G6">
        <f>-'Journal Entry'!D10</f>
        <v>-5274.2</v>
      </c>
      <c r="I6" t="s">
        <v>488</v>
      </c>
    </row>
    <row r="7" spans="1:9" x14ac:dyDescent="0.3">
      <c r="A7" t="s">
        <v>489</v>
      </c>
      <c r="B7">
        <v>202312</v>
      </c>
      <c r="C7" t="s">
        <v>485</v>
      </c>
      <c r="D7" s="536">
        <v>45291</v>
      </c>
      <c r="E7" t="s">
        <v>491</v>
      </c>
      <c r="F7" t="s">
        <v>487</v>
      </c>
      <c r="G7">
        <f>-'Journal Entry'!D11</f>
        <v>-750</v>
      </c>
      <c r="I7" t="s">
        <v>488</v>
      </c>
    </row>
    <row r="8" spans="1:9" x14ac:dyDescent="0.3">
      <c r="A8" t="s">
        <v>489</v>
      </c>
      <c r="B8">
        <v>202312</v>
      </c>
      <c r="C8" t="s">
        <v>485</v>
      </c>
      <c r="D8" s="536">
        <v>45291</v>
      </c>
      <c r="E8" t="s">
        <v>491</v>
      </c>
      <c r="F8" t="s">
        <v>487</v>
      </c>
      <c r="G8">
        <f>-'Journal Entry'!D12</f>
        <v>-3750</v>
      </c>
      <c r="I8" t="s">
        <v>488</v>
      </c>
    </row>
    <row r="9" spans="1:9" x14ac:dyDescent="0.3">
      <c r="A9" t="s">
        <v>489</v>
      </c>
      <c r="B9">
        <v>202312</v>
      </c>
      <c r="C9" t="s">
        <v>485</v>
      </c>
      <c r="D9" s="536">
        <v>45291</v>
      </c>
      <c r="E9" t="s">
        <v>181</v>
      </c>
      <c r="F9" t="s">
        <v>487</v>
      </c>
      <c r="G9">
        <f>-'Journal Entry'!D13</f>
        <v>-17000</v>
      </c>
      <c r="I9" t="s">
        <v>488</v>
      </c>
    </row>
    <row r="10" spans="1:9" x14ac:dyDescent="0.3">
      <c r="A10" t="s">
        <v>489</v>
      </c>
      <c r="B10">
        <v>202312</v>
      </c>
      <c r="C10" t="s">
        <v>485</v>
      </c>
      <c r="D10" s="536">
        <v>45291</v>
      </c>
      <c r="E10" t="s">
        <v>182</v>
      </c>
      <c r="F10" t="s">
        <v>487</v>
      </c>
      <c r="G10">
        <f>-'Journal Entry'!D14</f>
        <v>-10000</v>
      </c>
      <c r="I10" t="s">
        <v>488</v>
      </c>
    </row>
    <row r="11" spans="1:9" x14ac:dyDescent="0.3">
      <c r="A11" t="s">
        <v>489</v>
      </c>
      <c r="B11">
        <v>202312</v>
      </c>
      <c r="C11" t="s">
        <v>485</v>
      </c>
      <c r="D11" s="536">
        <v>45291</v>
      </c>
      <c r="E11" t="s">
        <v>180</v>
      </c>
      <c r="F11" t="s">
        <v>487</v>
      </c>
      <c r="G11">
        <f>-'Journal Entry'!D15</f>
        <v>0</v>
      </c>
      <c r="I11" t="s">
        <v>488</v>
      </c>
    </row>
    <row r="12" spans="1:9" x14ac:dyDescent="0.3">
      <c r="A12" t="s">
        <v>489</v>
      </c>
      <c r="B12">
        <v>202312</v>
      </c>
      <c r="C12" t="s">
        <v>485</v>
      </c>
      <c r="D12" s="536">
        <v>45291</v>
      </c>
      <c r="E12" t="s">
        <v>492</v>
      </c>
      <c r="F12" t="s">
        <v>487</v>
      </c>
      <c r="G12">
        <f>-'Journal Entry'!D16-'Journal Entry'!D17-'Journal Entry'!D18-'Journal Entry'!D19</f>
        <v>-579239.35789473681</v>
      </c>
      <c r="I12" t="s">
        <v>488</v>
      </c>
    </row>
    <row r="13" spans="1:9" x14ac:dyDescent="0.3">
      <c r="A13" t="s">
        <v>489</v>
      </c>
      <c r="B13">
        <v>202312</v>
      </c>
      <c r="C13" t="s">
        <v>485</v>
      </c>
      <c r="D13" s="536">
        <v>45291</v>
      </c>
      <c r="E13" t="s">
        <v>486</v>
      </c>
      <c r="F13" t="s">
        <v>493</v>
      </c>
      <c r="G13">
        <f>'Journal Entry'!C24</f>
        <v>592017.5438596491</v>
      </c>
      <c r="I13" t="s">
        <v>494</v>
      </c>
    </row>
    <row r="14" spans="1:9" x14ac:dyDescent="0.3">
      <c r="A14" t="s">
        <v>489</v>
      </c>
      <c r="B14">
        <v>202312</v>
      </c>
      <c r="C14" t="s">
        <v>485</v>
      </c>
      <c r="D14" s="536">
        <v>45291</v>
      </c>
      <c r="E14" t="s">
        <v>486</v>
      </c>
      <c r="F14" t="s">
        <v>493</v>
      </c>
      <c r="G14">
        <f>'Journal Entry'!C25</f>
        <v>1250</v>
      </c>
      <c r="I14" t="s">
        <v>494</v>
      </c>
    </row>
    <row r="15" spans="1:9" x14ac:dyDescent="0.3">
      <c r="A15" t="s">
        <v>489</v>
      </c>
      <c r="B15">
        <v>202312</v>
      </c>
      <c r="C15" t="s">
        <v>485</v>
      </c>
      <c r="D15" s="536">
        <v>45291</v>
      </c>
      <c r="E15" t="s">
        <v>490</v>
      </c>
      <c r="F15" t="s">
        <v>493</v>
      </c>
      <c r="G15">
        <f>-'Journal Entry'!D26</f>
        <v>-9790</v>
      </c>
      <c r="I15" t="s">
        <v>494</v>
      </c>
    </row>
    <row r="16" spans="1:9" x14ac:dyDescent="0.3">
      <c r="A16" t="s">
        <v>489</v>
      </c>
      <c r="B16">
        <v>202312</v>
      </c>
      <c r="C16" t="s">
        <v>485</v>
      </c>
      <c r="D16" s="536">
        <v>45291</v>
      </c>
      <c r="E16" t="s">
        <v>491</v>
      </c>
      <c r="F16" t="s">
        <v>493</v>
      </c>
      <c r="G16">
        <f>-'Journal Entry'!D27</f>
        <v>-250</v>
      </c>
      <c r="I16" t="s">
        <v>494</v>
      </c>
    </row>
    <row r="17" spans="1:9" x14ac:dyDescent="0.3">
      <c r="A17" t="s">
        <v>489</v>
      </c>
      <c r="B17">
        <v>202312</v>
      </c>
      <c r="C17" t="s">
        <v>485</v>
      </c>
      <c r="D17" s="536">
        <v>45291</v>
      </c>
      <c r="E17" t="s">
        <v>491</v>
      </c>
      <c r="F17" t="s">
        <v>493</v>
      </c>
      <c r="G17">
        <f>-'Journal Entry'!D28</f>
        <v>-1250</v>
      </c>
      <c r="I17" t="s">
        <v>494</v>
      </c>
    </row>
    <row r="18" spans="1:9" x14ac:dyDescent="0.3">
      <c r="A18" t="s">
        <v>489</v>
      </c>
      <c r="B18">
        <v>202312</v>
      </c>
      <c r="C18" t="s">
        <v>485</v>
      </c>
      <c r="D18" s="536">
        <v>45291</v>
      </c>
      <c r="E18" t="s">
        <v>181</v>
      </c>
      <c r="F18" t="s">
        <v>493</v>
      </c>
      <c r="G18">
        <f>-'Journal Entry'!D29</f>
        <v>0</v>
      </c>
      <c r="I18" t="s">
        <v>494</v>
      </c>
    </row>
    <row r="19" spans="1:9" x14ac:dyDescent="0.3">
      <c r="A19" t="s">
        <v>489</v>
      </c>
      <c r="B19">
        <v>202312</v>
      </c>
      <c r="C19" t="s">
        <v>485</v>
      </c>
      <c r="D19" s="536">
        <v>45291</v>
      </c>
      <c r="E19" t="s">
        <v>182</v>
      </c>
      <c r="F19" t="s">
        <v>493</v>
      </c>
      <c r="G19">
        <f>-'Journal Entry'!D30</f>
        <v>-5000</v>
      </c>
      <c r="I19" t="s">
        <v>494</v>
      </c>
    </row>
    <row r="20" spans="1:9" x14ac:dyDescent="0.3">
      <c r="A20" t="s">
        <v>489</v>
      </c>
      <c r="B20">
        <v>202312</v>
      </c>
      <c r="C20" t="s">
        <v>485</v>
      </c>
      <c r="D20" s="536">
        <v>45291</v>
      </c>
      <c r="E20" t="s">
        <v>180</v>
      </c>
      <c r="F20" t="s">
        <v>493</v>
      </c>
      <c r="G20">
        <f>-'Journal Entry'!D31</f>
        <v>-75000</v>
      </c>
      <c r="I20" t="s">
        <v>494</v>
      </c>
    </row>
    <row r="21" spans="1:9" x14ac:dyDescent="0.3">
      <c r="A21" t="s">
        <v>489</v>
      </c>
      <c r="B21">
        <v>202312</v>
      </c>
      <c r="C21" t="s">
        <v>485</v>
      </c>
      <c r="D21" s="536">
        <v>45291</v>
      </c>
      <c r="E21" t="s">
        <v>492</v>
      </c>
      <c r="F21" t="s">
        <v>493</v>
      </c>
      <c r="G21">
        <f>-'Journal Entry'!D32-'Journal Entry'!D33-'Journal Entry'!D34-'Journal Entry'!D35</f>
        <v>-501977.54385964916</v>
      </c>
      <c r="I21" t="s">
        <v>494</v>
      </c>
    </row>
    <row r="22" spans="1:9" x14ac:dyDescent="0.3">
      <c r="A22" t="s">
        <v>489</v>
      </c>
      <c r="B22">
        <v>202312</v>
      </c>
      <c r="C22" t="s">
        <v>485</v>
      </c>
      <c r="D22" s="536">
        <v>45291</v>
      </c>
      <c r="E22" t="s">
        <v>486</v>
      </c>
      <c r="F22" t="s">
        <v>495</v>
      </c>
      <c r="G22">
        <f>'Journal Entry'!C40</f>
        <v>560750</v>
      </c>
      <c r="I22" t="s">
        <v>496</v>
      </c>
    </row>
    <row r="23" spans="1:9" x14ac:dyDescent="0.3">
      <c r="A23" t="s">
        <v>489</v>
      </c>
      <c r="B23">
        <v>202312</v>
      </c>
      <c r="C23" t="s">
        <v>485</v>
      </c>
      <c r="D23" s="536">
        <v>45291</v>
      </c>
      <c r="E23" t="s">
        <v>486</v>
      </c>
      <c r="F23" t="s">
        <v>495</v>
      </c>
      <c r="G23">
        <f>'Journal Entry'!C41</f>
        <v>2500</v>
      </c>
      <c r="I23" t="s">
        <v>496</v>
      </c>
    </row>
    <row r="24" spans="1:9" x14ac:dyDescent="0.3">
      <c r="A24" t="s">
        <v>489</v>
      </c>
      <c r="B24">
        <v>202312</v>
      </c>
      <c r="C24" t="s">
        <v>485</v>
      </c>
      <c r="D24" s="536">
        <v>45291</v>
      </c>
      <c r="E24" t="s">
        <v>490</v>
      </c>
      <c r="F24" t="s">
        <v>495</v>
      </c>
      <c r="G24">
        <f>-'Journal Entry'!D42</f>
        <v>-3341.3</v>
      </c>
      <c r="I24" t="s">
        <v>496</v>
      </c>
    </row>
    <row r="25" spans="1:9" x14ac:dyDescent="0.3">
      <c r="A25" t="s">
        <v>489</v>
      </c>
      <c r="B25">
        <v>202312</v>
      </c>
      <c r="C25" t="s">
        <v>485</v>
      </c>
      <c r="D25" s="536">
        <v>45291</v>
      </c>
      <c r="E25" t="s">
        <v>491</v>
      </c>
      <c r="F25" t="s">
        <v>495</v>
      </c>
      <c r="G25">
        <f>-'Journal Entry'!D43</f>
        <v>-500</v>
      </c>
      <c r="I25" t="s">
        <v>496</v>
      </c>
    </row>
    <row r="26" spans="1:9" x14ac:dyDescent="0.3">
      <c r="A26" t="s">
        <v>489</v>
      </c>
      <c r="B26">
        <v>202312</v>
      </c>
      <c r="C26" t="s">
        <v>485</v>
      </c>
      <c r="D26" s="536">
        <v>45291</v>
      </c>
      <c r="E26" t="s">
        <v>491</v>
      </c>
      <c r="F26" t="s">
        <v>495</v>
      </c>
      <c r="G26">
        <f>-'Journal Entry'!D44</f>
        <v>-2500</v>
      </c>
      <c r="I26" t="s">
        <v>496</v>
      </c>
    </row>
    <row r="27" spans="1:9" x14ac:dyDescent="0.3">
      <c r="A27" t="s">
        <v>489</v>
      </c>
      <c r="B27">
        <v>202312</v>
      </c>
      <c r="C27" t="s">
        <v>485</v>
      </c>
      <c r="D27" s="536">
        <v>45291</v>
      </c>
      <c r="E27" t="s">
        <v>181</v>
      </c>
      <c r="F27" t="s">
        <v>495</v>
      </c>
      <c r="G27">
        <f>-'Journal Entry'!D45</f>
        <v>0</v>
      </c>
      <c r="I27" t="s">
        <v>496</v>
      </c>
    </row>
    <row r="28" spans="1:9" x14ac:dyDescent="0.3">
      <c r="A28" t="s">
        <v>489</v>
      </c>
      <c r="B28">
        <v>202312</v>
      </c>
      <c r="C28" t="s">
        <v>485</v>
      </c>
      <c r="D28" s="536">
        <v>45291</v>
      </c>
      <c r="E28" t="s">
        <v>182</v>
      </c>
      <c r="F28" t="s">
        <v>495</v>
      </c>
      <c r="G28">
        <f>-'Journal Entry'!D46</f>
        <v>0</v>
      </c>
      <c r="I28" t="s">
        <v>496</v>
      </c>
    </row>
    <row r="29" spans="1:9" x14ac:dyDescent="0.3">
      <c r="A29" t="s">
        <v>489</v>
      </c>
      <c r="B29">
        <v>202312</v>
      </c>
      <c r="C29" t="s">
        <v>485</v>
      </c>
      <c r="D29" s="536">
        <v>45291</v>
      </c>
      <c r="E29" t="s">
        <v>180</v>
      </c>
      <c r="F29" t="s">
        <v>495</v>
      </c>
      <c r="G29">
        <f>-'Journal Entry'!D47</f>
        <v>-85000</v>
      </c>
      <c r="I29" t="s">
        <v>496</v>
      </c>
    </row>
    <row r="30" spans="1:9" x14ac:dyDescent="0.3">
      <c r="A30" t="s">
        <v>489</v>
      </c>
      <c r="B30">
        <v>202312</v>
      </c>
      <c r="C30" t="s">
        <v>485</v>
      </c>
      <c r="D30" s="536">
        <v>45291</v>
      </c>
      <c r="E30" t="s">
        <v>492</v>
      </c>
      <c r="F30" t="s">
        <v>495</v>
      </c>
      <c r="G30">
        <f>-'Journal Entry'!D48</f>
        <v>-461408.7</v>
      </c>
      <c r="I30" t="s">
        <v>496</v>
      </c>
    </row>
    <row r="31" spans="1:9" x14ac:dyDescent="0.3">
      <c r="A31" t="s">
        <v>489</v>
      </c>
      <c r="B31">
        <v>202312</v>
      </c>
      <c r="C31" t="s">
        <v>485</v>
      </c>
      <c r="D31" s="536">
        <v>45291</v>
      </c>
      <c r="E31" t="s">
        <v>486</v>
      </c>
      <c r="F31" t="s">
        <v>497</v>
      </c>
      <c r="G31">
        <f>'Journal Entry'!C57</f>
        <v>490952.38095238095</v>
      </c>
      <c r="I31" t="s">
        <v>498</v>
      </c>
    </row>
    <row r="32" spans="1:9" x14ac:dyDescent="0.3">
      <c r="A32" t="s">
        <v>489</v>
      </c>
      <c r="B32">
        <v>202312</v>
      </c>
      <c r="C32" t="s">
        <v>485</v>
      </c>
      <c r="D32" s="536">
        <v>45291</v>
      </c>
      <c r="E32" t="s">
        <v>486</v>
      </c>
      <c r="F32" t="s">
        <v>497</v>
      </c>
      <c r="G32">
        <f>'Journal Entry'!C58</f>
        <v>1250</v>
      </c>
      <c r="I32" t="s">
        <v>498</v>
      </c>
    </row>
    <row r="33" spans="1:9" x14ac:dyDescent="0.3">
      <c r="A33" t="s">
        <v>489</v>
      </c>
      <c r="B33">
        <v>202312</v>
      </c>
      <c r="C33" t="s">
        <v>485</v>
      </c>
      <c r="D33" s="536">
        <v>45291</v>
      </c>
      <c r="E33" t="s">
        <v>490</v>
      </c>
      <c r="F33" t="s">
        <v>497</v>
      </c>
      <c r="G33">
        <f>-'Journal Entry'!D59</f>
        <v>-10795.85</v>
      </c>
      <c r="I33" t="s">
        <v>498</v>
      </c>
    </row>
    <row r="34" spans="1:9" x14ac:dyDescent="0.3">
      <c r="A34" t="s">
        <v>489</v>
      </c>
      <c r="B34">
        <v>202312</v>
      </c>
      <c r="C34" t="s">
        <v>485</v>
      </c>
      <c r="D34" s="536">
        <v>45291</v>
      </c>
      <c r="E34" t="s">
        <v>491</v>
      </c>
      <c r="F34" t="s">
        <v>497</v>
      </c>
      <c r="G34">
        <f>-'Journal Entry'!D60</f>
        <v>-250</v>
      </c>
      <c r="I34" t="s">
        <v>498</v>
      </c>
    </row>
    <row r="35" spans="1:9" x14ac:dyDescent="0.3">
      <c r="A35" t="s">
        <v>489</v>
      </c>
      <c r="B35">
        <v>202312</v>
      </c>
      <c r="C35" t="s">
        <v>485</v>
      </c>
      <c r="D35" s="536">
        <v>45291</v>
      </c>
      <c r="E35" t="s">
        <v>491</v>
      </c>
      <c r="F35" t="s">
        <v>497</v>
      </c>
      <c r="G35">
        <f>-'Journal Entry'!D61</f>
        <v>-1250</v>
      </c>
      <c r="I35" t="s">
        <v>498</v>
      </c>
    </row>
    <row r="36" spans="1:9" x14ac:dyDescent="0.3">
      <c r="A36" t="s">
        <v>489</v>
      </c>
      <c r="B36">
        <v>202312</v>
      </c>
      <c r="C36" t="s">
        <v>485</v>
      </c>
      <c r="D36" s="536">
        <v>45291</v>
      </c>
      <c r="E36" t="s">
        <v>181</v>
      </c>
      <c r="F36" t="s">
        <v>497</v>
      </c>
      <c r="G36">
        <f>-'Journal Entry'!D62</f>
        <v>0</v>
      </c>
      <c r="I36" t="s">
        <v>498</v>
      </c>
    </row>
    <row r="37" spans="1:9" x14ac:dyDescent="0.3">
      <c r="A37" t="s">
        <v>489</v>
      </c>
      <c r="B37">
        <v>202312</v>
      </c>
      <c r="C37" t="s">
        <v>485</v>
      </c>
      <c r="D37" s="536">
        <v>45291</v>
      </c>
      <c r="E37" t="s">
        <v>182</v>
      </c>
      <c r="F37" t="s">
        <v>497</v>
      </c>
      <c r="G37">
        <f>-'Journal Entry'!D63</f>
        <v>0</v>
      </c>
      <c r="I37" t="s">
        <v>498</v>
      </c>
    </row>
    <row r="38" spans="1:9" x14ac:dyDescent="0.3">
      <c r="A38" t="s">
        <v>489</v>
      </c>
      <c r="B38">
        <v>202312</v>
      </c>
      <c r="C38" t="s">
        <v>485</v>
      </c>
      <c r="D38" s="536">
        <v>45291</v>
      </c>
      <c r="E38" t="s">
        <v>180</v>
      </c>
      <c r="F38" t="s">
        <v>497</v>
      </c>
      <c r="G38">
        <f>-'Journal Entry'!D64</f>
        <v>0</v>
      </c>
      <c r="I38" t="s">
        <v>498</v>
      </c>
    </row>
    <row r="39" spans="1:9" x14ac:dyDescent="0.3">
      <c r="A39" t="s">
        <v>489</v>
      </c>
      <c r="B39">
        <v>202312</v>
      </c>
      <c r="C39" t="s">
        <v>485</v>
      </c>
      <c r="D39" s="536">
        <v>45291</v>
      </c>
      <c r="E39" t="s">
        <v>492</v>
      </c>
      <c r="F39" t="s">
        <v>497</v>
      </c>
      <c r="G39">
        <f>-'Journal Entry'!D65-'Journal Entry'!D66-'Journal Entry'!D67-'Journal Entry'!D68</f>
        <v>-479906.53095238097</v>
      </c>
      <c r="I39" t="s">
        <v>498</v>
      </c>
    </row>
    <row r="40" spans="1:9" x14ac:dyDescent="0.3">
      <c r="A40" t="s">
        <v>489</v>
      </c>
      <c r="B40">
        <v>202312</v>
      </c>
      <c r="C40" t="s">
        <v>485</v>
      </c>
      <c r="D40" s="536">
        <v>45291</v>
      </c>
      <c r="E40" t="s">
        <v>486</v>
      </c>
      <c r="F40" t="s">
        <v>499</v>
      </c>
      <c r="G40">
        <f>'Journal Entry'!C73</f>
        <v>560000</v>
      </c>
      <c r="I40" t="s">
        <v>500</v>
      </c>
    </row>
    <row r="41" spans="1:9" x14ac:dyDescent="0.3">
      <c r="A41" t="s">
        <v>489</v>
      </c>
      <c r="B41">
        <v>202312</v>
      </c>
      <c r="C41" t="s">
        <v>485</v>
      </c>
      <c r="D41" s="536">
        <v>45291</v>
      </c>
      <c r="E41" t="s">
        <v>486</v>
      </c>
      <c r="F41" t="s">
        <v>499</v>
      </c>
      <c r="G41">
        <f>'Journal Entry'!C74</f>
        <v>3750</v>
      </c>
      <c r="I41" t="s">
        <v>500</v>
      </c>
    </row>
    <row r="42" spans="1:9" x14ac:dyDescent="0.3">
      <c r="A42" t="s">
        <v>489</v>
      </c>
      <c r="B42">
        <v>202312</v>
      </c>
      <c r="C42" t="s">
        <v>485</v>
      </c>
      <c r="D42" s="536">
        <v>45291</v>
      </c>
      <c r="E42" t="s">
        <v>490</v>
      </c>
      <c r="F42" t="s">
        <v>499</v>
      </c>
      <c r="G42">
        <f>-'Journal Entry'!D75</f>
        <v>-14868</v>
      </c>
      <c r="I42" t="s">
        <v>500</v>
      </c>
    </row>
    <row r="43" spans="1:9" x14ac:dyDescent="0.3">
      <c r="A43" t="s">
        <v>489</v>
      </c>
      <c r="B43">
        <v>202312</v>
      </c>
      <c r="C43" t="s">
        <v>485</v>
      </c>
      <c r="D43" s="536">
        <v>45291</v>
      </c>
      <c r="E43" t="s">
        <v>491</v>
      </c>
      <c r="F43" t="s">
        <v>499</v>
      </c>
      <c r="G43">
        <f>-'Journal Entry'!D76</f>
        <v>-750</v>
      </c>
      <c r="I43" t="s">
        <v>500</v>
      </c>
    </row>
    <row r="44" spans="1:9" x14ac:dyDescent="0.3">
      <c r="A44" t="s">
        <v>489</v>
      </c>
      <c r="B44">
        <v>202312</v>
      </c>
      <c r="C44" t="s">
        <v>485</v>
      </c>
      <c r="D44" s="536">
        <v>45291</v>
      </c>
      <c r="E44" t="s">
        <v>491</v>
      </c>
      <c r="F44" t="s">
        <v>499</v>
      </c>
      <c r="G44">
        <f>-'Journal Entry'!D77</f>
        <v>-3750</v>
      </c>
      <c r="I44" t="s">
        <v>500</v>
      </c>
    </row>
    <row r="45" spans="1:9" x14ac:dyDescent="0.3">
      <c r="A45" t="s">
        <v>489</v>
      </c>
      <c r="B45">
        <v>202312</v>
      </c>
      <c r="C45" t="s">
        <v>485</v>
      </c>
      <c r="D45" s="536">
        <v>45291</v>
      </c>
      <c r="E45" t="s">
        <v>181</v>
      </c>
      <c r="F45" t="s">
        <v>499</v>
      </c>
      <c r="G45">
        <f>-'Journal Entry'!D78</f>
        <v>0</v>
      </c>
      <c r="I45" t="s">
        <v>500</v>
      </c>
    </row>
    <row r="46" spans="1:9" x14ac:dyDescent="0.3">
      <c r="A46" t="s">
        <v>489</v>
      </c>
      <c r="B46">
        <v>202312</v>
      </c>
      <c r="C46" t="s">
        <v>485</v>
      </c>
      <c r="D46" s="536">
        <v>45291</v>
      </c>
      <c r="E46" t="s">
        <v>182</v>
      </c>
      <c r="F46" t="s">
        <v>499</v>
      </c>
      <c r="G46">
        <f>-'Journal Entry'!D79</f>
        <v>-10000</v>
      </c>
      <c r="I46" t="s">
        <v>500</v>
      </c>
    </row>
    <row r="47" spans="1:9" x14ac:dyDescent="0.3">
      <c r="A47" t="s">
        <v>489</v>
      </c>
      <c r="B47">
        <v>202312</v>
      </c>
      <c r="C47" t="s">
        <v>485</v>
      </c>
      <c r="D47" s="536">
        <v>45291</v>
      </c>
      <c r="E47" t="s">
        <v>180</v>
      </c>
      <c r="F47" t="s">
        <v>499</v>
      </c>
      <c r="G47">
        <f>-'Journal Entry'!D80</f>
        <v>0</v>
      </c>
      <c r="I47" t="s">
        <v>500</v>
      </c>
    </row>
    <row r="48" spans="1:9" x14ac:dyDescent="0.3">
      <c r="A48" t="s">
        <v>489</v>
      </c>
      <c r="B48">
        <v>202312</v>
      </c>
      <c r="C48" t="s">
        <v>485</v>
      </c>
      <c r="D48" s="536">
        <v>45291</v>
      </c>
      <c r="E48" t="s">
        <v>492</v>
      </c>
      <c r="F48" t="s">
        <v>499</v>
      </c>
      <c r="G48">
        <f>-'Journal Entry'!D81-'Journal Entry'!D82-'Journal Entry'!D83-'Journal Entry'!D84</f>
        <v>-534382</v>
      </c>
      <c r="I48" t="s">
        <v>500</v>
      </c>
    </row>
    <row r="49" spans="1:9" x14ac:dyDescent="0.3">
      <c r="A49" t="s">
        <v>489</v>
      </c>
      <c r="B49">
        <v>202312</v>
      </c>
      <c r="C49" t="s">
        <v>485</v>
      </c>
      <c r="D49" s="536">
        <v>45291</v>
      </c>
      <c r="E49" t="s">
        <v>486</v>
      </c>
      <c r="F49" t="s">
        <v>501</v>
      </c>
      <c r="G49">
        <f>'Journal Entry'!C88</f>
        <v>130000</v>
      </c>
      <c r="I49" t="s">
        <v>502</v>
      </c>
    </row>
    <row r="50" spans="1:9" x14ac:dyDescent="0.3">
      <c r="A50" t="s">
        <v>489</v>
      </c>
      <c r="B50">
        <v>202312</v>
      </c>
      <c r="C50" t="s">
        <v>485</v>
      </c>
      <c r="D50" s="536">
        <v>45291</v>
      </c>
      <c r="E50" t="s">
        <v>486</v>
      </c>
      <c r="F50" t="s">
        <v>501</v>
      </c>
      <c r="G50">
        <f>'Journal Entry'!C89</f>
        <v>0</v>
      </c>
      <c r="I50" t="s">
        <v>502</v>
      </c>
    </row>
    <row r="51" spans="1:9" x14ac:dyDescent="0.3">
      <c r="A51" t="s">
        <v>489</v>
      </c>
      <c r="B51">
        <v>202312</v>
      </c>
      <c r="C51" t="s">
        <v>485</v>
      </c>
      <c r="D51" s="536">
        <v>45291</v>
      </c>
      <c r="E51" t="s">
        <v>490</v>
      </c>
      <c r="F51" t="s">
        <v>501</v>
      </c>
      <c r="G51">
        <f>-'Journal Entry'!D90</f>
        <v>-1790.25</v>
      </c>
      <c r="I51" t="s">
        <v>502</v>
      </c>
    </row>
    <row r="52" spans="1:9" x14ac:dyDescent="0.3">
      <c r="A52" t="s">
        <v>489</v>
      </c>
      <c r="B52">
        <v>202312</v>
      </c>
      <c r="C52" t="s">
        <v>485</v>
      </c>
      <c r="D52" s="536">
        <v>45291</v>
      </c>
      <c r="E52" t="s">
        <v>491</v>
      </c>
      <c r="F52" t="s">
        <v>501</v>
      </c>
      <c r="G52">
        <f>-'Journal Entry'!D91</f>
        <v>0</v>
      </c>
      <c r="I52" t="s">
        <v>502</v>
      </c>
    </row>
    <row r="53" spans="1:9" x14ac:dyDescent="0.3">
      <c r="A53" t="s">
        <v>489</v>
      </c>
      <c r="B53">
        <v>202312</v>
      </c>
      <c r="C53" t="s">
        <v>485</v>
      </c>
      <c r="D53" s="536">
        <v>45291</v>
      </c>
      <c r="E53" t="s">
        <v>491</v>
      </c>
      <c r="F53" t="s">
        <v>501</v>
      </c>
      <c r="G53">
        <f>-'Journal Entry'!D92</f>
        <v>0</v>
      </c>
      <c r="I53" t="s">
        <v>502</v>
      </c>
    </row>
    <row r="54" spans="1:9" x14ac:dyDescent="0.3">
      <c r="A54" t="s">
        <v>489</v>
      </c>
      <c r="B54">
        <v>202312</v>
      </c>
      <c r="C54" t="s">
        <v>485</v>
      </c>
      <c r="D54" s="536">
        <v>45291</v>
      </c>
      <c r="E54" t="s">
        <v>181</v>
      </c>
      <c r="F54" t="s">
        <v>501</v>
      </c>
      <c r="G54">
        <f>-'Journal Entry'!D93</f>
        <v>0</v>
      </c>
      <c r="I54" t="s">
        <v>502</v>
      </c>
    </row>
    <row r="55" spans="1:9" x14ac:dyDescent="0.3">
      <c r="A55" t="s">
        <v>489</v>
      </c>
      <c r="B55">
        <v>202312</v>
      </c>
      <c r="C55" t="s">
        <v>485</v>
      </c>
      <c r="D55" s="536">
        <v>45291</v>
      </c>
      <c r="E55" t="s">
        <v>182</v>
      </c>
      <c r="F55" t="s">
        <v>501</v>
      </c>
      <c r="G55">
        <f>-'Journal Entry'!D94</f>
        <v>0</v>
      </c>
      <c r="I55" t="s">
        <v>502</v>
      </c>
    </row>
    <row r="56" spans="1:9" x14ac:dyDescent="0.3">
      <c r="A56" t="s">
        <v>489</v>
      </c>
      <c r="B56">
        <v>202312</v>
      </c>
      <c r="C56" t="s">
        <v>485</v>
      </c>
      <c r="D56" s="536">
        <v>45291</v>
      </c>
      <c r="E56" t="s">
        <v>180</v>
      </c>
      <c r="F56" t="s">
        <v>501</v>
      </c>
      <c r="G56">
        <f>-'Journal Entry'!D95</f>
        <v>0</v>
      </c>
      <c r="I56" t="s">
        <v>502</v>
      </c>
    </row>
    <row r="57" spans="1:9" x14ac:dyDescent="0.3">
      <c r="A57" t="s">
        <v>489</v>
      </c>
      <c r="B57">
        <v>202312</v>
      </c>
      <c r="C57" t="s">
        <v>485</v>
      </c>
      <c r="D57" s="536">
        <v>45291</v>
      </c>
      <c r="E57" t="s">
        <v>492</v>
      </c>
      <c r="F57" t="s">
        <v>501</v>
      </c>
      <c r="G57">
        <f>-'Journal Entry'!D96</f>
        <v>-128209.75</v>
      </c>
      <c r="I57" t="s">
        <v>502</v>
      </c>
    </row>
    <row r="58" spans="1:9" x14ac:dyDescent="0.3">
      <c r="A58" t="s">
        <v>489</v>
      </c>
      <c r="B58">
        <v>202312</v>
      </c>
      <c r="C58" t="s">
        <v>485</v>
      </c>
      <c r="D58" s="536">
        <v>45291</v>
      </c>
      <c r="E58" t="s">
        <v>486</v>
      </c>
      <c r="F58" t="s">
        <v>503</v>
      </c>
      <c r="G58">
        <f>'Journal Entry'!C104</f>
        <v>0</v>
      </c>
      <c r="I58" t="s">
        <v>504</v>
      </c>
    </row>
    <row r="59" spans="1:9" x14ac:dyDescent="0.3">
      <c r="A59" t="s">
        <v>489</v>
      </c>
      <c r="B59">
        <v>202312</v>
      </c>
      <c r="C59" t="s">
        <v>485</v>
      </c>
      <c r="D59" s="536">
        <v>45291</v>
      </c>
      <c r="E59" t="s">
        <v>486</v>
      </c>
      <c r="F59" t="s">
        <v>503</v>
      </c>
      <c r="G59">
        <f>'Journal Entry'!C105</f>
        <v>0</v>
      </c>
      <c r="I59" t="s">
        <v>504</v>
      </c>
    </row>
    <row r="60" spans="1:9" x14ac:dyDescent="0.3">
      <c r="A60" t="s">
        <v>489</v>
      </c>
      <c r="B60">
        <v>202312</v>
      </c>
      <c r="C60" t="s">
        <v>485</v>
      </c>
      <c r="D60" s="536">
        <v>45291</v>
      </c>
      <c r="E60" t="s">
        <v>490</v>
      </c>
      <c r="F60" t="s">
        <v>503</v>
      </c>
      <c r="G60">
        <f>-'Journal Entry'!D106</f>
        <v>0</v>
      </c>
      <c r="I60" t="s">
        <v>504</v>
      </c>
    </row>
    <row r="61" spans="1:9" x14ac:dyDescent="0.3">
      <c r="A61" t="s">
        <v>489</v>
      </c>
      <c r="B61">
        <v>202312</v>
      </c>
      <c r="C61" t="s">
        <v>485</v>
      </c>
      <c r="D61" s="536">
        <v>45291</v>
      </c>
      <c r="E61" t="s">
        <v>491</v>
      </c>
      <c r="F61" t="s">
        <v>503</v>
      </c>
      <c r="G61">
        <f>-'Journal Entry'!D107</f>
        <v>0</v>
      </c>
      <c r="I61" t="s">
        <v>504</v>
      </c>
    </row>
    <row r="62" spans="1:9" x14ac:dyDescent="0.3">
      <c r="A62" t="s">
        <v>489</v>
      </c>
      <c r="B62">
        <v>202312</v>
      </c>
      <c r="C62" t="s">
        <v>485</v>
      </c>
      <c r="D62" s="536">
        <v>45291</v>
      </c>
      <c r="E62" t="s">
        <v>491</v>
      </c>
      <c r="F62" t="s">
        <v>503</v>
      </c>
      <c r="G62">
        <f>-'Journal Entry'!D108</f>
        <v>0</v>
      </c>
      <c r="I62" t="s">
        <v>504</v>
      </c>
    </row>
    <row r="63" spans="1:9" x14ac:dyDescent="0.3">
      <c r="A63" t="s">
        <v>489</v>
      </c>
      <c r="B63">
        <v>202312</v>
      </c>
      <c r="C63" t="s">
        <v>485</v>
      </c>
      <c r="D63" s="536">
        <v>45291</v>
      </c>
      <c r="E63" t="s">
        <v>181</v>
      </c>
      <c r="F63" t="s">
        <v>503</v>
      </c>
      <c r="G63">
        <f>-'Journal Entry'!D109</f>
        <v>0</v>
      </c>
      <c r="I63" t="s">
        <v>504</v>
      </c>
    </row>
    <row r="64" spans="1:9" x14ac:dyDescent="0.3">
      <c r="A64" t="s">
        <v>489</v>
      </c>
      <c r="B64">
        <v>202312</v>
      </c>
      <c r="C64" t="s">
        <v>485</v>
      </c>
      <c r="D64" s="536">
        <v>45291</v>
      </c>
      <c r="E64" t="s">
        <v>182</v>
      </c>
      <c r="F64" t="s">
        <v>503</v>
      </c>
      <c r="G64">
        <f>-'Journal Entry'!D110</f>
        <v>0</v>
      </c>
      <c r="I64" t="s">
        <v>504</v>
      </c>
    </row>
    <row r="65" spans="1:9" x14ac:dyDescent="0.3">
      <c r="A65" t="s">
        <v>489</v>
      </c>
      <c r="B65">
        <v>202312</v>
      </c>
      <c r="C65" t="s">
        <v>485</v>
      </c>
      <c r="D65" s="536">
        <v>45291</v>
      </c>
      <c r="E65" t="s">
        <v>180</v>
      </c>
      <c r="F65" t="s">
        <v>503</v>
      </c>
      <c r="G65">
        <f>-'Journal Entry'!D111</f>
        <v>0</v>
      </c>
      <c r="I65" t="s">
        <v>504</v>
      </c>
    </row>
    <row r="66" spans="1:9" x14ac:dyDescent="0.3">
      <c r="A66" t="s">
        <v>489</v>
      </c>
      <c r="B66">
        <v>202312</v>
      </c>
      <c r="C66" t="s">
        <v>485</v>
      </c>
      <c r="D66" s="536">
        <v>45291</v>
      </c>
      <c r="E66" t="s">
        <v>492</v>
      </c>
      <c r="F66" t="s">
        <v>503</v>
      </c>
      <c r="G66">
        <f>-'Journal Entry'!D112-'Journal Entry'!D113-'Journal Entry'!D114-'Journal Entry'!D115</f>
        <v>0</v>
      </c>
      <c r="I66" t="s">
        <v>504</v>
      </c>
    </row>
    <row r="67" spans="1:9" x14ac:dyDescent="0.3">
      <c r="A67" t="s">
        <v>489</v>
      </c>
      <c r="B67">
        <v>202312</v>
      </c>
      <c r="C67" t="s">
        <v>485</v>
      </c>
      <c r="D67" s="536">
        <v>45291</v>
      </c>
      <c r="E67" t="s">
        <v>486</v>
      </c>
      <c r="F67" t="s">
        <v>505</v>
      </c>
      <c r="G67">
        <f>'Journal Entry'!C120</f>
        <v>246428.57142857142</v>
      </c>
      <c r="I67" t="s">
        <v>506</v>
      </c>
    </row>
    <row r="68" spans="1:9" x14ac:dyDescent="0.3">
      <c r="A68" t="s">
        <v>489</v>
      </c>
      <c r="B68">
        <v>202312</v>
      </c>
      <c r="C68" t="s">
        <v>485</v>
      </c>
      <c r="D68" s="536">
        <v>45291</v>
      </c>
      <c r="E68" t="s">
        <v>486</v>
      </c>
      <c r="F68" t="s">
        <v>505</v>
      </c>
      <c r="G68">
        <f>'Journal Entry'!C121</f>
        <v>0</v>
      </c>
      <c r="I68" t="s">
        <v>506</v>
      </c>
    </row>
    <row r="69" spans="1:9" x14ac:dyDescent="0.3">
      <c r="A69" t="s">
        <v>489</v>
      </c>
      <c r="B69">
        <v>202312</v>
      </c>
      <c r="C69" t="s">
        <v>485</v>
      </c>
      <c r="D69" s="536">
        <v>45291</v>
      </c>
      <c r="E69" t="s">
        <v>490</v>
      </c>
      <c r="F69" t="s">
        <v>505</v>
      </c>
      <c r="G69">
        <f>-'Journal Entry'!D122</f>
        <v>0</v>
      </c>
      <c r="I69" t="s">
        <v>506</v>
      </c>
    </row>
    <row r="70" spans="1:9" x14ac:dyDescent="0.3">
      <c r="A70" t="s">
        <v>489</v>
      </c>
      <c r="B70">
        <v>202312</v>
      </c>
      <c r="C70" t="s">
        <v>485</v>
      </c>
      <c r="D70" s="536">
        <v>45291</v>
      </c>
      <c r="E70" t="s">
        <v>491</v>
      </c>
      <c r="F70" t="s">
        <v>505</v>
      </c>
      <c r="G70">
        <f>-'Journal Entry'!D123</f>
        <v>0</v>
      </c>
      <c r="I70" t="s">
        <v>506</v>
      </c>
    </row>
    <row r="71" spans="1:9" x14ac:dyDescent="0.3">
      <c r="A71" t="s">
        <v>489</v>
      </c>
      <c r="B71">
        <v>202312</v>
      </c>
      <c r="C71" t="s">
        <v>485</v>
      </c>
      <c r="D71" s="536">
        <v>45291</v>
      </c>
      <c r="E71" t="s">
        <v>491</v>
      </c>
      <c r="F71" t="s">
        <v>505</v>
      </c>
      <c r="G71">
        <f>-'Journal Entry'!D124</f>
        <v>0</v>
      </c>
      <c r="I71" t="s">
        <v>506</v>
      </c>
    </row>
    <row r="72" spans="1:9" x14ac:dyDescent="0.3">
      <c r="A72" t="s">
        <v>489</v>
      </c>
      <c r="B72">
        <v>202312</v>
      </c>
      <c r="C72" t="s">
        <v>485</v>
      </c>
      <c r="D72" s="536">
        <v>45291</v>
      </c>
      <c r="E72" t="s">
        <v>181</v>
      </c>
      <c r="F72" t="s">
        <v>505</v>
      </c>
      <c r="G72">
        <f>-'Journal Entry'!D125</f>
        <v>0</v>
      </c>
      <c r="I72" t="s">
        <v>506</v>
      </c>
    </row>
    <row r="73" spans="1:9" x14ac:dyDescent="0.3">
      <c r="A73" t="s">
        <v>489</v>
      </c>
      <c r="B73">
        <v>202312</v>
      </c>
      <c r="C73" t="s">
        <v>485</v>
      </c>
      <c r="D73" s="536">
        <v>45291</v>
      </c>
      <c r="E73" t="s">
        <v>182</v>
      </c>
      <c r="F73" t="s">
        <v>505</v>
      </c>
      <c r="G73">
        <f>-'Journal Entry'!D126</f>
        <v>0</v>
      </c>
      <c r="I73" t="s">
        <v>506</v>
      </c>
    </row>
    <row r="74" spans="1:9" x14ac:dyDescent="0.3">
      <c r="A74" t="s">
        <v>489</v>
      </c>
      <c r="B74">
        <v>202312</v>
      </c>
      <c r="C74" t="s">
        <v>485</v>
      </c>
      <c r="D74" s="536">
        <v>45291</v>
      </c>
      <c r="E74" t="s">
        <v>180</v>
      </c>
      <c r="F74" t="s">
        <v>505</v>
      </c>
      <c r="G74">
        <f>-'Journal Entry'!D127</f>
        <v>0</v>
      </c>
      <c r="I74" t="s">
        <v>506</v>
      </c>
    </row>
    <row r="75" spans="1:9" x14ac:dyDescent="0.3">
      <c r="A75" t="s">
        <v>489</v>
      </c>
      <c r="B75">
        <v>202312</v>
      </c>
      <c r="C75" t="s">
        <v>485</v>
      </c>
      <c r="D75" s="536">
        <v>45291</v>
      </c>
      <c r="E75" t="s">
        <v>492</v>
      </c>
      <c r="F75" t="s">
        <v>505</v>
      </c>
      <c r="G75">
        <f>-'Journal Entry'!D128-'Journal Entry'!D129-'Journal Entry'!D130-'Journal Entry'!D131</f>
        <v>-246428.57142857142</v>
      </c>
      <c r="I75" t="s">
        <v>506</v>
      </c>
    </row>
    <row r="76" spans="1:9" x14ac:dyDescent="0.3">
      <c r="A76" t="s">
        <v>507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A2310-ECD2-415D-BC6B-7B0E23CDFA5B}">
  <sheetPr codeName="Sheet8"/>
  <dimension ref="A1:I74"/>
  <sheetViews>
    <sheetView view="pageBreakPreview" zoomScaleNormal="100" zoomScaleSheetLayoutView="100" workbookViewId="0">
      <pane ySplit="3" topLeftCell="A4" activePane="bottomLeft" state="frozen"/>
      <selection activeCell="R23" sqref="R23"/>
      <selection pane="bottomLeft" activeCell="E14" sqref="E14"/>
    </sheetView>
  </sheetViews>
  <sheetFormatPr defaultRowHeight="14.4" x14ac:dyDescent="0.3"/>
  <cols>
    <col min="1" max="1" width="5.6640625" style="73" customWidth="1"/>
    <col min="2" max="2" width="30.88671875" style="73" customWidth="1"/>
    <col min="3" max="3" width="30" style="73" customWidth="1"/>
    <col min="4" max="4" width="23.5546875" style="73" customWidth="1"/>
    <col min="5" max="5" width="5.6640625" customWidth="1"/>
    <col min="6" max="6" width="18.6640625" bestFit="1" customWidth="1"/>
    <col min="8" max="8" width="9.88671875" bestFit="1" customWidth="1"/>
  </cols>
  <sheetData>
    <row r="1" spans="2:9" ht="15" thickBot="1" x14ac:dyDescent="0.35">
      <c r="F1" s="140" t="s">
        <v>319</v>
      </c>
      <c r="G1" s="141"/>
      <c r="H1" s="142">
        <v>135</v>
      </c>
    </row>
    <row r="2" spans="2:9" ht="16.2" thickBot="1" x14ac:dyDescent="0.35">
      <c r="B2" s="764" t="s">
        <v>595</v>
      </c>
      <c r="C2" s="765"/>
      <c r="D2" s="766"/>
      <c r="F2" t="s">
        <v>205</v>
      </c>
      <c r="H2" s="139" t="str">
        <f>VLOOKUP(H1,Master!F:AL,4,FALSE)</f>
        <v>Farhad Muhammad Khan</v>
      </c>
    </row>
    <row r="3" spans="2:9" x14ac:dyDescent="0.3">
      <c r="B3" s="74" t="s">
        <v>205</v>
      </c>
      <c r="C3" s="75" t="str">
        <f>_xlfn.XLOOKUP(H1,Master[Emp Code],Master[Employee Name (CNIC)],0)</f>
        <v>Farhad Muhammad Khan</v>
      </c>
      <c r="D3" s="767" t="s">
        <v>206</v>
      </c>
      <c r="F3" t="s">
        <v>320</v>
      </c>
      <c r="H3" s="143">
        <f>VLOOKUP(H1,Master!F:AL,29,FALSE)</f>
        <v>0</v>
      </c>
      <c r="I3" s="144">
        <f>+H3-C31</f>
        <v>-79532.2</v>
      </c>
    </row>
    <row r="4" spans="2:9" x14ac:dyDescent="0.3">
      <c r="B4" s="76" t="s">
        <v>5</v>
      </c>
      <c r="C4" s="77" t="str">
        <f>_xlfn.XLOOKUP(H1,Master[Emp Code],Master[Designation],0)</f>
        <v xml:space="preserve">Support Engineer </v>
      </c>
      <c r="D4" s="768"/>
    </row>
    <row r="5" spans="2:9" x14ac:dyDescent="0.3">
      <c r="B5" s="76" t="s">
        <v>4</v>
      </c>
      <c r="C5" s="77" t="str">
        <f>_xlfn.XLOOKUP(H1,Master[Emp Code],Master[Department],0)</f>
        <v>IT</v>
      </c>
      <c r="D5" s="768"/>
    </row>
    <row r="6" spans="2:9" x14ac:dyDescent="0.3">
      <c r="B6" s="76" t="s">
        <v>207</v>
      </c>
      <c r="C6" s="78">
        <f>_xlfn.XLOOKUP(H1,Master[Emp Code],Master[DOJ (DD/MM/Y)],0)</f>
        <v>43524</v>
      </c>
      <c r="D6" s="768"/>
    </row>
    <row r="7" spans="2:9" x14ac:dyDescent="0.3">
      <c r="B7" s="76" t="s">
        <v>208</v>
      </c>
      <c r="C7" s="78" t="s">
        <v>53</v>
      </c>
      <c r="D7" s="768"/>
    </row>
    <row r="8" spans="2:9" x14ac:dyDescent="0.3">
      <c r="B8" s="76" t="s">
        <v>209</v>
      </c>
      <c r="C8" s="428" t="str">
        <f>_xlfn.XLOOKUP(H1,Master[Emp Code],Master[CNIC],0)</f>
        <v>42401-0634733-9</v>
      </c>
      <c r="D8" s="768"/>
    </row>
    <row r="9" spans="2:9" ht="15" thickBot="1" x14ac:dyDescent="0.35">
      <c r="B9" s="80" t="s">
        <v>211</v>
      </c>
      <c r="C9" s="81" t="s">
        <v>552</v>
      </c>
      <c r="D9" s="769"/>
    </row>
    <row r="10" spans="2:9" ht="15" thickBot="1" x14ac:dyDescent="0.35">
      <c r="B10" s="82"/>
      <c r="C10" s="83"/>
      <c r="D10" s="84"/>
    </row>
    <row r="11" spans="2:9" ht="15" thickBot="1" x14ac:dyDescent="0.35">
      <c r="B11" s="85" t="s">
        <v>213</v>
      </c>
      <c r="C11" s="86" t="s">
        <v>214</v>
      </c>
      <c r="D11" s="86" t="s">
        <v>215</v>
      </c>
    </row>
    <row r="12" spans="2:9" x14ac:dyDescent="0.3">
      <c r="B12" s="87" t="s">
        <v>7</v>
      </c>
      <c r="C12" s="205">
        <f>_xlfn.XLOOKUP(H1,Master[Emp Code],Master[Gross Salary],0)</f>
        <v>80000</v>
      </c>
      <c r="D12" s="89"/>
    </row>
    <row r="13" spans="2:9" x14ac:dyDescent="0.3">
      <c r="B13" s="90" t="s">
        <v>8</v>
      </c>
      <c r="C13" s="102">
        <f>C12/160%</f>
        <v>50000</v>
      </c>
      <c r="D13" s="92"/>
    </row>
    <row r="14" spans="2:9" x14ac:dyDescent="0.3">
      <c r="B14" s="90" t="s">
        <v>216</v>
      </c>
      <c r="C14" s="102">
        <f>40/100*C13</f>
        <v>20000</v>
      </c>
      <c r="D14" s="92"/>
    </row>
    <row r="15" spans="2:9" x14ac:dyDescent="0.3">
      <c r="B15" s="94" t="s">
        <v>217</v>
      </c>
      <c r="C15" s="102">
        <f>10/100*C13</f>
        <v>5000</v>
      </c>
      <c r="D15" s="96"/>
    </row>
    <row r="16" spans="2:9" x14ac:dyDescent="0.3">
      <c r="B16" s="94" t="s">
        <v>218</v>
      </c>
      <c r="C16" s="102">
        <f>10/100*C13</f>
        <v>5000</v>
      </c>
      <c r="D16" s="96"/>
    </row>
    <row r="17" spans="2:4" x14ac:dyDescent="0.3">
      <c r="B17" s="94" t="s">
        <v>219</v>
      </c>
      <c r="C17" s="102">
        <v>0</v>
      </c>
      <c r="D17" s="96"/>
    </row>
    <row r="18" spans="2:4" x14ac:dyDescent="0.3">
      <c r="B18" s="90" t="s">
        <v>220</v>
      </c>
      <c r="C18" s="102">
        <v>0</v>
      </c>
      <c r="D18" s="97"/>
    </row>
    <row r="19" spans="2:4" x14ac:dyDescent="0.3">
      <c r="B19" s="90" t="s">
        <v>221</v>
      </c>
      <c r="C19" s="102">
        <v>0</v>
      </c>
      <c r="D19" s="97"/>
    </row>
    <row r="20" spans="2:4" x14ac:dyDescent="0.3">
      <c r="B20" s="90" t="s">
        <v>222</v>
      </c>
      <c r="C20" s="102">
        <v>0</v>
      </c>
      <c r="D20" s="97"/>
    </row>
    <row r="21" spans="2:4" x14ac:dyDescent="0.3">
      <c r="B21" s="90" t="s">
        <v>451</v>
      </c>
      <c r="C21" s="102">
        <f>VLOOKUP(H1,Master!$F:$AL,17,FALSE)</f>
        <v>0</v>
      </c>
      <c r="D21" s="98"/>
    </row>
    <row r="22" spans="2:4" ht="15" thickBot="1" x14ac:dyDescent="0.35">
      <c r="B22" s="80" t="s">
        <v>224</v>
      </c>
      <c r="C22" s="99">
        <f>SUM(C13:C21)</f>
        <v>80000</v>
      </c>
      <c r="D22" s="100"/>
    </row>
    <row r="23" spans="2:4" ht="15" thickBot="1" x14ac:dyDescent="0.35">
      <c r="B23" s="770"/>
      <c r="C23" s="771"/>
      <c r="D23" s="772"/>
    </row>
    <row r="24" spans="2:4" x14ac:dyDescent="0.3">
      <c r="B24" s="101" t="s">
        <v>225</v>
      </c>
      <c r="C24" s="102">
        <f>_xlfn.XLOOKUP(H1,Master[Emp Code],Master[Tax],0)</f>
        <v>467.8</v>
      </c>
      <c r="D24" s="103" t="s">
        <v>226</v>
      </c>
    </row>
    <row r="25" spans="2:4" x14ac:dyDescent="0.3">
      <c r="B25" s="90" t="s">
        <v>227</v>
      </c>
      <c r="C25" s="102">
        <f>_xlfn.XLOOKUP(H1,Master[Emp Code],Master[Advance],0)</f>
        <v>0</v>
      </c>
      <c r="D25" s="104"/>
    </row>
    <row r="26" spans="2:4" x14ac:dyDescent="0.3">
      <c r="B26" s="90" t="s">
        <v>228</v>
      </c>
      <c r="C26" s="102">
        <f>VLOOKUP(H1,Master!$F:$AL,21,FALSE)</f>
        <v>0</v>
      </c>
      <c r="D26" s="104"/>
    </row>
    <row r="27" spans="2:4" x14ac:dyDescent="0.3">
      <c r="B27" s="90" t="s">
        <v>452</v>
      </c>
      <c r="C27" s="102">
        <f>VLOOKUP(H1,Master!$F:$AL,24,FALSE)</f>
        <v>0</v>
      </c>
      <c r="D27" s="104"/>
    </row>
    <row r="28" spans="2:4" x14ac:dyDescent="0.3">
      <c r="B28" s="90" t="s">
        <v>229</v>
      </c>
      <c r="C28" s="102">
        <f>VLOOKUP(H1,Master!$F:$AL,27,FALSE)</f>
        <v>0</v>
      </c>
      <c r="D28" s="105"/>
    </row>
    <row r="29" spans="2:4" x14ac:dyDescent="0.3">
      <c r="B29" s="90" t="s">
        <v>22</v>
      </c>
      <c r="C29" s="102">
        <f>_xlfn.XLOOKUP(H1,Master[Emp Code],Master[Loan],0)</f>
        <v>0</v>
      </c>
      <c r="D29" s="104"/>
    </row>
    <row r="30" spans="2:4" x14ac:dyDescent="0.3">
      <c r="B30" s="90" t="s">
        <v>230</v>
      </c>
      <c r="C30" s="106">
        <f>SUM(C24:C29)</f>
        <v>467.8</v>
      </c>
      <c r="D30" s="107"/>
    </row>
    <row r="31" spans="2:4" ht="15" thickBot="1" x14ac:dyDescent="0.35">
      <c r="B31" s="80" t="s">
        <v>231</v>
      </c>
      <c r="C31" s="108">
        <f>C22-C30</f>
        <v>79532.2</v>
      </c>
      <c r="D31" s="109" t="s">
        <v>232</v>
      </c>
    </row>
    <row r="32" spans="2:4" ht="15" thickBot="1" x14ac:dyDescent="0.35">
      <c r="B32" s="83"/>
      <c r="C32" s="83"/>
      <c r="D32" s="84"/>
    </row>
    <row r="33" spans="2:7" x14ac:dyDescent="0.3">
      <c r="B33" s="85" t="s">
        <v>233</v>
      </c>
      <c r="C33" s="85" t="s">
        <v>211</v>
      </c>
      <c r="D33" s="85" t="s">
        <v>234</v>
      </c>
    </row>
    <row r="34" spans="2:7" hidden="1" x14ac:dyDescent="0.3">
      <c r="B34" s="101" t="s">
        <v>235</v>
      </c>
      <c r="C34" s="110" t="e">
        <f>VLOOKUP(H1,'Leaves Monitor'!A:BQ,65,FALSE)+VLOOKUP(H1,'Leaves Monitor'!A:BQ,68,FALSE)</f>
        <v>#N/A</v>
      </c>
      <c r="D34" s="111"/>
    </row>
    <row r="35" spans="2:7" x14ac:dyDescent="0.3">
      <c r="B35" s="112" t="s">
        <v>236</v>
      </c>
      <c r="C35" s="113">
        <v>10</v>
      </c>
      <c r="D35" s="114"/>
    </row>
    <row r="36" spans="2:7" x14ac:dyDescent="0.3">
      <c r="B36" s="90" t="s">
        <v>237</v>
      </c>
      <c r="C36" s="113">
        <v>0</v>
      </c>
      <c r="D36" s="114"/>
    </row>
    <row r="37" spans="2:7" x14ac:dyDescent="0.3">
      <c r="B37" s="90" t="s">
        <v>238</v>
      </c>
      <c r="C37" s="113">
        <v>0</v>
      </c>
      <c r="D37" s="114"/>
      <c r="F37" t="e">
        <f>VLOOKUP(H1,'Leaves Monitor'!A:BQ,65,FALSE)+VLOOKUP(H1,'Leaves Monitor'!A:BQ,68,FALSE)</f>
        <v>#N/A</v>
      </c>
      <c r="G37" t="s">
        <v>349</v>
      </c>
    </row>
    <row r="38" spans="2:7" ht="15" thickBot="1" x14ac:dyDescent="0.35">
      <c r="B38" s="80" t="s">
        <v>239</v>
      </c>
      <c r="C38" s="115">
        <v>10</v>
      </c>
      <c r="D38" s="116"/>
      <c r="F38" t="e">
        <f>VLOOKUP(H1,'Leaves Monitor'!A:BQ,65,FALSE)+VLOOKUP(H1,'Leaves Monitor'!A:BQ,68,FALSE)++VLOOKUP(H1,'Leaves Monitor'!A:BQ,43,FALSE)++VLOOKUP(H1,'Leaves Monitor'!A:BQ,44,FALSE)+VLOOKUP(H1,'Leaves Monitor'!A:BQ,45,FALSE)</f>
        <v>#N/A</v>
      </c>
      <c r="G38" t="s">
        <v>352</v>
      </c>
    </row>
    <row r="39" spans="2:7" ht="15" thickBot="1" x14ac:dyDescent="0.35">
      <c r="B39" s="117"/>
      <c r="C39" s="118"/>
      <c r="D39" s="119"/>
      <c r="F39" t="e">
        <f>+VLOOKUP(H1,'Leaves Monitor'!A:BQ,43,FALSE)++VLOOKUP(H1,'Leaves Monitor'!A:BQ,44,FALSE)+VLOOKUP(H1,'Leaves Monitor'!A:BQ,45,FALSE)</f>
        <v>#N/A</v>
      </c>
      <c r="G39" t="s">
        <v>350</v>
      </c>
    </row>
    <row r="40" spans="2:7" ht="15" thickBot="1" x14ac:dyDescent="0.35">
      <c r="B40" s="85" t="s">
        <v>240</v>
      </c>
      <c r="C40" s="85" t="s">
        <v>241</v>
      </c>
      <c r="D40" s="85" t="s">
        <v>215</v>
      </c>
      <c r="F40" t="e">
        <f>+VLOOKUP(H1,'Leaves Monitor'!A:BQ,47,FALSE)</f>
        <v>#N/A</v>
      </c>
      <c r="G40" t="s">
        <v>351</v>
      </c>
    </row>
    <row r="41" spans="2:7" x14ac:dyDescent="0.3">
      <c r="B41" s="120" t="s">
        <v>242</v>
      </c>
      <c r="C41" s="146">
        <v>0</v>
      </c>
      <c r="D41" s="103"/>
    </row>
    <row r="42" spans="2:7" x14ac:dyDescent="0.3">
      <c r="B42" s="121" t="s">
        <v>243</v>
      </c>
      <c r="C42" s="146">
        <v>7.125</v>
      </c>
      <c r="D42" s="97"/>
      <c r="F42">
        <f>19*8</f>
        <v>152</v>
      </c>
    </row>
    <row r="43" spans="2:7" x14ac:dyDescent="0.3">
      <c r="B43" s="121" t="s">
        <v>244</v>
      </c>
      <c r="C43" s="146">
        <v>7.125</v>
      </c>
      <c r="D43" s="98"/>
    </row>
    <row r="44" spans="2:7" ht="15" thickBot="1" x14ac:dyDescent="0.35">
      <c r="B44" s="123" t="s">
        <v>245</v>
      </c>
      <c r="C44" s="147">
        <f>C43-C42</f>
        <v>0</v>
      </c>
      <c r="D44" s="124"/>
    </row>
    <row r="45" spans="2:7" x14ac:dyDescent="0.3">
      <c r="B45" s="773" t="s">
        <v>246</v>
      </c>
      <c r="C45" s="774"/>
      <c r="D45" s="775"/>
      <c r="F45">
        <f>9*19</f>
        <v>171</v>
      </c>
    </row>
    <row r="46" spans="2:7" ht="15" thickBot="1" x14ac:dyDescent="0.35">
      <c r="B46" s="776"/>
      <c r="C46" s="777"/>
      <c r="D46" s="778"/>
    </row>
    <row r="48" spans="2:7" x14ac:dyDescent="0.3">
      <c r="B48" s="125"/>
      <c r="C48" s="126"/>
    </row>
    <row r="49" spans="2:3" x14ac:dyDescent="0.3">
      <c r="B49" s="125"/>
      <c r="C49" s="127"/>
    </row>
    <row r="50" spans="2:3" x14ac:dyDescent="0.3">
      <c r="B50" s="125"/>
      <c r="C50" s="128"/>
    </row>
    <row r="51" spans="2:3" x14ac:dyDescent="0.3">
      <c r="B51" s="125"/>
      <c r="C51" s="128"/>
    </row>
    <row r="52" spans="2:3" x14ac:dyDescent="0.3">
      <c r="B52" s="125"/>
      <c r="C52" s="128"/>
    </row>
    <row r="53" spans="2:3" x14ac:dyDescent="0.3">
      <c r="B53" s="125"/>
      <c r="C53" s="128"/>
    </row>
    <row r="55" spans="2:3" x14ac:dyDescent="0.3">
      <c r="B55" s="125"/>
      <c r="C55" s="129"/>
    </row>
    <row r="73" spans="2:2" x14ac:dyDescent="0.3">
      <c r="B73" s="125"/>
    </row>
    <row r="74" spans="2:2" x14ac:dyDescent="0.3">
      <c r="B74" s="125"/>
    </row>
  </sheetData>
  <mergeCells count="4">
    <mergeCell ref="B2:D2"/>
    <mergeCell ref="D3:D9"/>
    <mergeCell ref="B23:D23"/>
    <mergeCell ref="B45:D46"/>
  </mergeCells>
  <pageMargins left="0.45" right="0.45" top="0.5" bottom="0.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5F2D539-0868-40BE-B2F8-77D8E7396EAD}">
          <x14:formula1>
            <xm:f>Master!$F$8:$F$59</xm:f>
          </x14:formula1>
          <xm:sqref>H1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CA667-DBFF-4D61-A800-1F369A3FF38D}">
  <sheetPr codeName="Sheet14"/>
  <dimension ref="A1:I73"/>
  <sheetViews>
    <sheetView view="pageBreakPreview" zoomScaleNormal="100" zoomScaleSheetLayoutView="100" workbookViewId="0">
      <pane ySplit="3" topLeftCell="A4" activePane="bottomLeft" state="frozen"/>
      <selection activeCell="R23" sqref="R23"/>
      <selection pane="bottomLeft" activeCell="R23" sqref="R23"/>
    </sheetView>
  </sheetViews>
  <sheetFormatPr defaultRowHeight="14.4" x14ac:dyDescent="0.3"/>
  <cols>
    <col min="1" max="1" width="5.6640625" style="73" customWidth="1"/>
    <col min="2" max="2" width="30.88671875" style="73" customWidth="1"/>
    <col min="3" max="3" width="30" style="73" customWidth="1"/>
    <col min="4" max="4" width="23.5546875" style="73" customWidth="1"/>
    <col min="5" max="5" width="5.6640625" customWidth="1"/>
    <col min="6" max="6" width="18.6640625" bestFit="1" customWidth="1"/>
    <col min="8" max="8" width="9.88671875" bestFit="1" customWidth="1"/>
  </cols>
  <sheetData>
    <row r="1" spans="2:9" ht="15" thickBot="1" x14ac:dyDescent="0.35">
      <c r="F1" s="140" t="s">
        <v>319</v>
      </c>
      <c r="G1" s="141"/>
      <c r="H1" s="142">
        <v>53</v>
      </c>
    </row>
    <row r="2" spans="2:9" ht="16.2" thickBot="1" x14ac:dyDescent="0.35">
      <c r="B2" s="764" t="s">
        <v>298</v>
      </c>
      <c r="C2" s="765"/>
      <c r="D2" s="766"/>
      <c r="F2" t="s">
        <v>205</v>
      </c>
      <c r="H2" s="139" t="str">
        <f>VLOOKUP(H1,Master!F:AL,4,FALSE)</f>
        <v>Muhammad Mubashir</v>
      </c>
    </row>
    <row r="3" spans="2:9" x14ac:dyDescent="0.3">
      <c r="B3" s="74" t="s">
        <v>205</v>
      </c>
      <c r="C3" s="75" t="s">
        <v>353</v>
      </c>
      <c r="D3" s="767" t="s">
        <v>206</v>
      </c>
      <c r="F3" t="s">
        <v>320</v>
      </c>
      <c r="H3" s="143">
        <f>VLOOKUP(H1,Master!F:AL,29,FALSE)</f>
        <v>0</v>
      </c>
      <c r="I3" s="144">
        <f>+H3-C30</f>
        <v>-313700</v>
      </c>
    </row>
    <row r="4" spans="2:9" x14ac:dyDescent="0.3">
      <c r="B4" s="76" t="s">
        <v>5</v>
      </c>
      <c r="C4" s="77" t="s">
        <v>355</v>
      </c>
      <c r="D4" s="768"/>
    </row>
    <row r="5" spans="2:9" x14ac:dyDescent="0.3">
      <c r="B5" s="76" t="s">
        <v>4</v>
      </c>
      <c r="C5" s="77" t="s">
        <v>48</v>
      </c>
      <c r="D5" s="768"/>
    </row>
    <row r="6" spans="2:9" x14ac:dyDescent="0.3">
      <c r="B6" s="76" t="s">
        <v>207</v>
      </c>
      <c r="C6" s="78">
        <v>43190</v>
      </c>
      <c r="D6" s="768"/>
    </row>
    <row r="7" spans="2:9" x14ac:dyDescent="0.3">
      <c r="B7" s="76" t="s">
        <v>208</v>
      </c>
      <c r="C7" s="78" t="s">
        <v>53</v>
      </c>
      <c r="D7" s="768"/>
    </row>
    <row r="8" spans="2:9" x14ac:dyDescent="0.3">
      <c r="B8" s="76" t="s">
        <v>209</v>
      </c>
      <c r="C8" s="79" t="s">
        <v>354</v>
      </c>
      <c r="D8" s="768"/>
    </row>
    <row r="9" spans="2:9" ht="15" thickBot="1" x14ac:dyDescent="0.35">
      <c r="B9" s="80" t="s">
        <v>211</v>
      </c>
      <c r="C9" s="81" t="s">
        <v>212</v>
      </c>
      <c r="D9" s="769"/>
    </row>
    <row r="10" spans="2:9" ht="15" thickBot="1" x14ac:dyDescent="0.35">
      <c r="B10" s="82"/>
      <c r="C10" s="83"/>
      <c r="D10" s="84"/>
    </row>
    <row r="11" spans="2:9" ht="15" thickBot="1" x14ac:dyDescent="0.35">
      <c r="B11" s="85" t="s">
        <v>213</v>
      </c>
      <c r="C11" s="86" t="s">
        <v>214</v>
      </c>
      <c r="D11" s="86" t="s">
        <v>215</v>
      </c>
    </row>
    <row r="12" spans="2:9" x14ac:dyDescent="0.3">
      <c r="B12" s="87" t="s">
        <v>7</v>
      </c>
      <c r="C12" s="88">
        <v>360000</v>
      </c>
      <c r="D12" s="89"/>
    </row>
    <row r="13" spans="2:9" x14ac:dyDescent="0.3">
      <c r="B13" s="90" t="s">
        <v>8</v>
      </c>
      <c r="C13" s="91">
        <f>C12/160%</f>
        <v>225000</v>
      </c>
      <c r="D13" s="92"/>
    </row>
    <row r="14" spans="2:9" x14ac:dyDescent="0.3">
      <c r="B14" s="90" t="s">
        <v>216</v>
      </c>
      <c r="C14" s="93">
        <f>40/100*C13</f>
        <v>90000</v>
      </c>
      <c r="D14" s="92"/>
    </row>
    <row r="15" spans="2:9" x14ac:dyDescent="0.3">
      <c r="B15" s="94" t="s">
        <v>217</v>
      </c>
      <c r="C15" s="95">
        <f>10/100*C13</f>
        <v>22500</v>
      </c>
      <c r="D15" s="96"/>
    </row>
    <row r="16" spans="2:9" x14ac:dyDescent="0.3">
      <c r="B16" s="94" t="s">
        <v>218</v>
      </c>
      <c r="C16" s="93">
        <f>10/100*C13</f>
        <v>22500</v>
      </c>
      <c r="D16" s="96"/>
    </row>
    <row r="17" spans="2:7" x14ac:dyDescent="0.3">
      <c r="B17" s="94" t="s">
        <v>219</v>
      </c>
      <c r="C17" s="93">
        <v>0</v>
      </c>
      <c r="D17" s="96"/>
    </row>
    <row r="18" spans="2:7" x14ac:dyDescent="0.3">
      <c r="B18" s="90" t="s">
        <v>220</v>
      </c>
      <c r="C18" s="93">
        <v>0</v>
      </c>
      <c r="D18" s="97"/>
    </row>
    <row r="19" spans="2:7" x14ac:dyDescent="0.3">
      <c r="B19" s="90" t="s">
        <v>221</v>
      </c>
      <c r="C19" s="93">
        <v>0</v>
      </c>
      <c r="D19" s="97"/>
    </row>
    <row r="20" spans="2:7" x14ac:dyDescent="0.3">
      <c r="B20" s="90" t="s">
        <v>222</v>
      </c>
      <c r="C20" s="93">
        <v>0</v>
      </c>
      <c r="D20" s="97"/>
    </row>
    <row r="21" spans="2:7" x14ac:dyDescent="0.3">
      <c r="B21" s="90" t="s">
        <v>223</v>
      </c>
      <c r="C21" s="93">
        <v>0</v>
      </c>
      <c r="D21" s="98"/>
    </row>
    <row r="22" spans="2:7" ht="15" thickBot="1" x14ac:dyDescent="0.35">
      <c r="B22" s="80" t="s">
        <v>224</v>
      </c>
      <c r="C22" s="99">
        <f>SUM(C13:C21)</f>
        <v>360000</v>
      </c>
      <c r="D22" s="100"/>
    </row>
    <row r="23" spans="2:7" ht="15" thickBot="1" x14ac:dyDescent="0.35">
      <c r="B23" s="770"/>
      <c r="C23" s="771"/>
      <c r="D23" s="772"/>
    </row>
    <row r="24" spans="2:7" x14ac:dyDescent="0.3">
      <c r="B24" s="101" t="s">
        <v>225</v>
      </c>
      <c r="C24" s="102">
        <f>45725+445</f>
        <v>46170</v>
      </c>
      <c r="D24" s="103" t="s">
        <v>226</v>
      </c>
    </row>
    <row r="25" spans="2:7" x14ac:dyDescent="0.3">
      <c r="B25" s="90" t="s">
        <v>227</v>
      </c>
      <c r="C25" s="102">
        <v>0</v>
      </c>
      <c r="D25" s="104"/>
    </row>
    <row r="26" spans="2:7" x14ac:dyDescent="0.3">
      <c r="B26" s="90" t="s">
        <v>228</v>
      </c>
      <c r="C26" s="102">
        <v>0</v>
      </c>
      <c r="D26" s="104"/>
    </row>
    <row r="27" spans="2:7" x14ac:dyDescent="0.3">
      <c r="B27" s="90" t="s">
        <v>229</v>
      </c>
      <c r="C27" s="102">
        <v>130</v>
      </c>
      <c r="D27" s="105"/>
    </row>
    <row r="28" spans="2:7" x14ac:dyDescent="0.3">
      <c r="B28" s="90" t="s">
        <v>22</v>
      </c>
      <c r="C28" s="102">
        <v>0</v>
      </c>
      <c r="D28" s="104"/>
    </row>
    <row r="29" spans="2:7" x14ac:dyDescent="0.3">
      <c r="B29" s="90" t="s">
        <v>230</v>
      </c>
      <c r="C29" s="106">
        <f>SUM(C24:C28)</f>
        <v>46300</v>
      </c>
      <c r="D29" s="107"/>
    </row>
    <row r="30" spans="2:7" ht="15" thickBot="1" x14ac:dyDescent="0.35">
      <c r="B30" s="80" t="s">
        <v>231</v>
      </c>
      <c r="C30" s="108">
        <f>C22-C29</f>
        <v>313700</v>
      </c>
      <c r="D30" s="109" t="s">
        <v>232</v>
      </c>
      <c r="F30" s="143">
        <v>313700</v>
      </c>
      <c r="G30" s="191"/>
    </row>
    <row r="31" spans="2:7" ht="15" thickBot="1" x14ac:dyDescent="0.35">
      <c r="B31" s="83"/>
      <c r="C31" s="83"/>
      <c r="D31" s="84"/>
    </row>
    <row r="32" spans="2:7" ht="15" thickBot="1" x14ac:dyDescent="0.35">
      <c r="B32" s="85" t="s">
        <v>233</v>
      </c>
      <c r="C32" s="85" t="s">
        <v>211</v>
      </c>
      <c r="D32" s="85" t="s">
        <v>234</v>
      </c>
    </row>
    <row r="33" spans="2:7" x14ac:dyDescent="0.3">
      <c r="B33" s="101" t="s">
        <v>235</v>
      </c>
      <c r="C33" s="110">
        <v>15</v>
      </c>
      <c r="D33" s="111"/>
    </row>
    <row r="34" spans="2:7" x14ac:dyDescent="0.3">
      <c r="B34" s="112" t="s">
        <v>236</v>
      </c>
      <c r="C34" s="113">
        <v>15</v>
      </c>
      <c r="D34" s="114"/>
    </row>
    <row r="35" spans="2:7" x14ac:dyDescent="0.3">
      <c r="B35" s="90" t="s">
        <v>237</v>
      </c>
      <c r="C35" s="113">
        <v>0</v>
      </c>
      <c r="D35" s="114"/>
    </row>
    <row r="36" spans="2:7" x14ac:dyDescent="0.3">
      <c r="B36" s="90" t="s">
        <v>238</v>
      </c>
      <c r="C36" s="113">
        <v>0</v>
      </c>
      <c r="D36" s="114"/>
      <c r="F36">
        <f>VLOOKUP(H1,'Leaves Monitor'!A:BQ,65,FALSE)+VLOOKUP(H1,'Leaves Monitor'!A:BQ,68,FALSE)</f>
        <v>17</v>
      </c>
      <c r="G36" t="s">
        <v>349</v>
      </c>
    </row>
    <row r="37" spans="2:7" ht="15" thickBot="1" x14ac:dyDescent="0.35">
      <c r="B37" s="80" t="s">
        <v>239</v>
      </c>
      <c r="C37" s="115">
        <f>+C33</f>
        <v>15</v>
      </c>
      <c r="D37" s="116"/>
      <c r="F37">
        <f>VLOOKUP(H1,'Leaves Monitor'!A:BQ,65,FALSE)+VLOOKUP(H1,'Leaves Monitor'!A:BQ,68,FALSE)++VLOOKUP(H1,'Leaves Monitor'!A:BQ,43,FALSE)++VLOOKUP(H1,'Leaves Monitor'!A:BQ,44,FALSE)+VLOOKUP(H1,'Leaves Monitor'!A:BQ,45,FALSE)</f>
        <v>18</v>
      </c>
      <c r="G37" t="s">
        <v>352</v>
      </c>
    </row>
    <row r="38" spans="2:7" ht="15" thickBot="1" x14ac:dyDescent="0.35">
      <c r="B38" s="117"/>
      <c r="C38" s="118"/>
      <c r="D38" s="119"/>
      <c r="F38">
        <f>+VLOOKUP(H1,'Leaves Monitor'!A:BQ,43,FALSE)++VLOOKUP(H1,'Leaves Monitor'!A:BQ,44,FALSE)+VLOOKUP(H1,'Leaves Monitor'!A:BQ,45,FALSE)</f>
        <v>1</v>
      </c>
      <c r="G38" t="s">
        <v>350</v>
      </c>
    </row>
    <row r="39" spans="2:7" ht="15" thickBot="1" x14ac:dyDescent="0.35">
      <c r="B39" s="85" t="s">
        <v>240</v>
      </c>
      <c r="C39" s="85" t="s">
        <v>241</v>
      </c>
      <c r="D39" s="85" t="s">
        <v>215</v>
      </c>
      <c r="F39">
        <f>+VLOOKUP(H1,'Leaves Monitor'!A:BQ,47,FALSE)</f>
        <v>1</v>
      </c>
      <c r="G39" t="s">
        <v>351</v>
      </c>
    </row>
    <row r="40" spans="2:7" x14ac:dyDescent="0.3">
      <c r="B40" s="120" t="s">
        <v>242</v>
      </c>
      <c r="C40" s="122">
        <v>0</v>
      </c>
      <c r="D40" s="103"/>
    </row>
    <row r="41" spans="2:7" x14ac:dyDescent="0.3">
      <c r="B41" s="121" t="s">
        <v>243</v>
      </c>
      <c r="C41" s="146">
        <v>7.875</v>
      </c>
      <c r="D41" s="97"/>
    </row>
    <row r="42" spans="2:7" x14ac:dyDescent="0.3">
      <c r="B42" s="121" t="s">
        <v>244</v>
      </c>
      <c r="C42" s="146">
        <v>7.9638888888888886</v>
      </c>
      <c r="D42" s="98"/>
    </row>
    <row r="43" spans="2:7" ht="15" thickBot="1" x14ac:dyDescent="0.35">
      <c r="B43" s="123" t="s">
        <v>245</v>
      </c>
      <c r="C43" s="147">
        <f>+C42-C41</f>
        <v>8.8888888888888573E-2</v>
      </c>
      <c r="D43" s="124"/>
    </row>
    <row r="44" spans="2:7" x14ac:dyDescent="0.3">
      <c r="B44" s="773" t="s">
        <v>246</v>
      </c>
      <c r="C44" s="774"/>
      <c r="D44" s="775"/>
    </row>
    <row r="45" spans="2:7" ht="15" thickBot="1" x14ac:dyDescent="0.35">
      <c r="B45" s="776"/>
      <c r="C45" s="777"/>
      <c r="D45" s="778"/>
    </row>
    <row r="47" spans="2:7" x14ac:dyDescent="0.3">
      <c r="B47" s="125"/>
      <c r="C47" s="126"/>
    </row>
    <row r="48" spans="2:7" x14ac:dyDescent="0.3">
      <c r="B48" s="125"/>
      <c r="C48" s="127"/>
    </row>
    <row r="49" spans="2:3" x14ac:dyDescent="0.3">
      <c r="B49" s="125"/>
      <c r="C49" s="128"/>
    </row>
    <row r="50" spans="2:3" x14ac:dyDescent="0.3">
      <c r="B50" s="125"/>
      <c r="C50" s="128"/>
    </row>
    <row r="51" spans="2:3" x14ac:dyDescent="0.3">
      <c r="B51" s="125"/>
      <c r="C51" s="128"/>
    </row>
    <row r="52" spans="2:3" x14ac:dyDescent="0.3">
      <c r="B52" s="125"/>
      <c r="C52" s="128"/>
    </row>
    <row r="54" spans="2:3" x14ac:dyDescent="0.3">
      <c r="B54" s="125"/>
      <c r="C54" s="129"/>
    </row>
    <row r="72" spans="2:2" x14ac:dyDescent="0.3">
      <c r="B72" s="125"/>
    </row>
    <row r="73" spans="2:2" x14ac:dyDescent="0.3">
      <c r="B73" s="125"/>
    </row>
  </sheetData>
  <mergeCells count="4">
    <mergeCell ref="B2:D2"/>
    <mergeCell ref="D3:D9"/>
    <mergeCell ref="B23:D23"/>
    <mergeCell ref="B44:D45"/>
  </mergeCells>
  <pageMargins left="0.45" right="0.45" top="0.5" bottom="0.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5360F5C-DE31-4C2A-8515-0149BC8AA225}">
          <x14:formula1>
            <xm:f>Master!$F$8:$F$59</xm:f>
          </x14:formula1>
          <xm:sqref>H1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3CA27-F6EE-4B5D-A71E-70607348F360}">
  <sheetPr codeName="Sheet10"/>
  <dimension ref="A1:M44"/>
  <sheetViews>
    <sheetView workbookViewId="0">
      <pane xSplit="3" ySplit="1" topLeftCell="D2" activePane="bottomRight" state="frozen"/>
      <selection activeCell="R23" sqref="R23"/>
      <selection pane="topRight" activeCell="R23" sqref="R23"/>
      <selection pane="bottomLeft" activeCell="R23" sqref="R23"/>
      <selection pane="bottomRight" activeCell="C21" sqref="C21"/>
    </sheetView>
  </sheetViews>
  <sheetFormatPr defaultColWidth="8.88671875" defaultRowHeight="14.4" x14ac:dyDescent="0.3"/>
  <cols>
    <col min="1" max="1" width="10" style="135" bestFit="1" customWidth="1"/>
    <col min="2" max="2" width="10.6640625" style="145" bestFit="1" customWidth="1"/>
    <col min="3" max="3" width="19.44140625" style="136" bestFit="1" customWidth="1"/>
    <col min="4" max="4" width="11.5546875" style="135" bestFit="1" customWidth="1"/>
    <col min="5" max="5" width="13.33203125" style="135" bestFit="1" customWidth="1"/>
    <col min="6" max="6" width="13.88671875" style="135" bestFit="1" customWidth="1"/>
    <col min="7" max="7" width="13.33203125" style="136" bestFit="1" customWidth="1"/>
    <col min="8" max="8" width="14.109375" style="136" bestFit="1" customWidth="1"/>
    <col min="9" max="9" width="37.33203125" style="136" bestFit="1" customWidth="1"/>
    <col min="10" max="11" width="13.44140625" style="136" bestFit="1" customWidth="1"/>
    <col min="12" max="12" width="8.88671875" style="136"/>
    <col min="13" max="13" width="9.109375" style="136" bestFit="1" customWidth="1"/>
    <col min="14" max="16384" width="8.88671875" style="136"/>
  </cols>
  <sheetData>
    <row r="1" spans="1:13" ht="28.8" x14ac:dyDescent="0.3">
      <c r="A1" s="192" t="s">
        <v>356</v>
      </c>
      <c r="B1" s="193" t="s">
        <v>357</v>
      </c>
      <c r="C1" s="194" t="s">
        <v>81</v>
      </c>
      <c r="D1" s="195" t="s">
        <v>299</v>
      </c>
      <c r="E1" s="195" t="s">
        <v>300</v>
      </c>
      <c r="F1" s="195" t="s">
        <v>301</v>
      </c>
      <c r="G1" s="195" t="s">
        <v>302</v>
      </c>
      <c r="H1" s="195" t="s">
        <v>303</v>
      </c>
      <c r="I1" s="196" t="s">
        <v>6</v>
      </c>
      <c r="J1" s="195" t="s">
        <v>358</v>
      </c>
      <c r="K1" s="195" t="s">
        <v>359</v>
      </c>
    </row>
    <row r="2" spans="1:13" x14ac:dyDescent="0.3">
      <c r="A2" s="197"/>
      <c r="B2" s="198"/>
      <c r="C2" s="197"/>
      <c r="D2" s="197"/>
      <c r="E2" s="197"/>
      <c r="F2" s="197"/>
      <c r="G2" s="197"/>
      <c r="H2" s="197"/>
      <c r="I2" s="197"/>
      <c r="J2" s="197"/>
      <c r="K2" s="197"/>
      <c r="L2" s="138"/>
      <c r="M2" s="137"/>
    </row>
    <row r="3" spans="1:13" x14ac:dyDescent="0.3">
      <c r="A3" s="198">
        <v>1</v>
      </c>
      <c r="B3" s="198">
        <v>53</v>
      </c>
      <c r="C3" s="197" t="s">
        <v>360</v>
      </c>
      <c r="D3" s="199">
        <v>7.4486111111111102</v>
      </c>
      <c r="E3" s="199">
        <v>6.6666666666666643</v>
      </c>
      <c r="F3" s="199">
        <v>0.78194444444444589</v>
      </c>
      <c r="G3" s="200">
        <v>1</v>
      </c>
      <c r="H3" s="200">
        <v>0</v>
      </c>
      <c r="I3" s="197"/>
      <c r="J3" s="200"/>
      <c r="K3" s="200"/>
      <c r="L3" s="138"/>
    </row>
    <row r="4" spans="1:13" x14ac:dyDescent="0.3">
      <c r="A4" s="198">
        <v>2</v>
      </c>
      <c r="B4" s="198">
        <v>78</v>
      </c>
      <c r="C4" s="197" t="s">
        <v>304</v>
      </c>
      <c r="D4" s="199">
        <v>6.8986111111111121</v>
      </c>
      <c r="E4" s="199">
        <v>6.6666666666666643</v>
      </c>
      <c r="F4" s="199">
        <v>0.23194444444444784</v>
      </c>
      <c r="G4" s="200">
        <v>1</v>
      </c>
      <c r="H4" s="200">
        <v>0</v>
      </c>
      <c r="I4" s="197"/>
      <c r="J4" s="200"/>
      <c r="K4" s="200"/>
      <c r="L4" s="138"/>
    </row>
    <row r="5" spans="1:13" x14ac:dyDescent="0.3">
      <c r="A5" s="198">
        <v>4</v>
      </c>
      <c r="B5" s="198">
        <v>176</v>
      </c>
      <c r="C5" s="197" t="s">
        <v>361</v>
      </c>
      <c r="D5" s="199">
        <v>3.3541666666666674</v>
      </c>
      <c r="E5" s="199">
        <v>6.9999999999999973</v>
      </c>
      <c r="F5" s="199">
        <v>-3.6458333333333299</v>
      </c>
      <c r="G5" s="200">
        <v>0</v>
      </c>
      <c r="H5" s="200">
        <v>0</v>
      </c>
      <c r="I5" s="197" t="s">
        <v>362</v>
      </c>
      <c r="J5" s="200"/>
      <c r="K5" s="200"/>
      <c r="L5" s="138"/>
    </row>
    <row r="6" spans="1:13" x14ac:dyDescent="0.3">
      <c r="A6" s="198">
        <v>8</v>
      </c>
      <c r="B6" s="198">
        <v>166</v>
      </c>
      <c r="C6" s="197" t="s">
        <v>363</v>
      </c>
      <c r="D6" s="199">
        <v>6.2326388888888902</v>
      </c>
      <c r="E6" s="199">
        <v>6.3333333333333313</v>
      </c>
      <c r="F6" s="199">
        <v>-0.10069444444444109</v>
      </c>
      <c r="G6" s="200">
        <v>2</v>
      </c>
      <c r="H6" s="200">
        <v>0</v>
      </c>
      <c r="I6" s="197" t="s">
        <v>362</v>
      </c>
      <c r="J6" s="200"/>
      <c r="K6" s="200"/>
      <c r="L6" s="138"/>
    </row>
    <row r="7" spans="1:13" x14ac:dyDescent="0.3">
      <c r="A7" s="198">
        <v>9</v>
      </c>
      <c r="B7" s="198">
        <v>111</v>
      </c>
      <c r="C7" s="197" t="s">
        <v>278</v>
      </c>
      <c r="D7" s="199">
        <v>6.9555555555555539</v>
      </c>
      <c r="E7" s="199">
        <v>6.6666666666666643</v>
      </c>
      <c r="F7" s="199">
        <v>0.28888888888888964</v>
      </c>
      <c r="G7" s="200">
        <v>0</v>
      </c>
      <c r="H7" s="201">
        <v>1</v>
      </c>
      <c r="I7" s="197" t="s">
        <v>364</v>
      </c>
      <c r="J7" s="200">
        <v>1</v>
      </c>
      <c r="K7" s="200"/>
      <c r="L7" s="138"/>
    </row>
    <row r="8" spans="1:13" x14ac:dyDescent="0.3">
      <c r="A8" s="198">
        <v>10</v>
      </c>
      <c r="B8" s="198">
        <v>75</v>
      </c>
      <c r="C8" s="197" t="s">
        <v>176</v>
      </c>
      <c r="D8" s="199">
        <v>6.8638888888888889</v>
      </c>
      <c r="E8" s="199">
        <v>6.9999999999999973</v>
      </c>
      <c r="F8" s="199">
        <v>-0.13611111111110841</v>
      </c>
      <c r="G8" s="200">
        <v>0</v>
      </c>
      <c r="H8" s="200">
        <v>0</v>
      </c>
      <c r="I8" s="197" t="s">
        <v>362</v>
      </c>
      <c r="J8" s="200"/>
      <c r="K8" s="200"/>
      <c r="L8" s="138"/>
    </row>
    <row r="9" spans="1:13" x14ac:dyDescent="0.3">
      <c r="A9" s="198">
        <v>11</v>
      </c>
      <c r="B9" s="198">
        <v>110</v>
      </c>
      <c r="C9" s="197" t="s">
        <v>305</v>
      </c>
      <c r="D9" s="199">
        <v>7.0701388888888888</v>
      </c>
      <c r="E9" s="199">
        <v>6.9999999999999973</v>
      </c>
      <c r="F9" s="199">
        <v>7.0138888888891415E-2</v>
      </c>
      <c r="G9" s="200">
        <v>0</v>
      </c>
      <c r="H9" s="200">
        <v>0.5</v>
      </c>
      <c r="I9" s="197" t="s">
        <v>365</v>
      </c>
      <c r="J9" s="200">
        <v>0.5</v>
      </c>
      <c r="K9" s="200"/>
      <c r="L9" s="138"/>
    </row>
    <row r="10" spans="1:13" x14ac:dyDescent="0.3">
      <c r="A10" s="198">
        <v>12</v>
      </c>
      <c r="B10" s="198">
        <v>41</v>
      </c>
      <c r="C10" s="197" t="s">
        <v>128</v>
      </c>
      <c r="D10" s="199">
        <v>6.4409722222222214</v>
      </c>
      <c r="E10" s="199">
        <v>6.9999999999999973</v>
      </c>
      <c r="F10" s="199">
        <v>-0.5590277777777759</v>
      </c>
      <c r="G10" s="200">
        <v>1</v>
      </c>
      <c r="H10" s="201">
        <v>1.5</v>
      </c>
      <c r="I10" s="197" t="s">
        <v>366</v>
      </c>
      <c r="J10" s="200">
        <v>1.5</v>
      </c>
      <c r="K10" s="200"/>
      <c r="L10" s="138"/>
    </row>
    <row r="11" spans="1:13" x14ac:dyDescent="0.3">
      <c r="A11" s="198">
        <v>13</v>
      </c>
      <c r="B11" s="198">
        <v>119</v>
      </c>
      <c r="C11" s="197" t="s">
        <v>367</v>
      </c>
      <c r="D11" s="199">
        <v>6.4319444444444445</v>
      </c>
      <c r="E11" s="199">
        <v>6.6666666666666643</v>
      </c>
      <c r="F11" s="199">
        <v>-0.23472222222221983</v>
      </c>
      <c r="G11" s="200">
        <v>1</v>
      </c>
      <c r="H11" s="200">
        <v>0</v>
      </c>
      <c r="I11" s="197" t="s">
        <v>362</v>
      </c>
      <c r="J11" s="200"/>
      <c r="K11" s="200"/>
      <c r="L11" s="138"/>
    </row>
    <row r="12" spans="1:13" x14ac:dyDescent="0.3">
      <c r="A12" s="198">
        <v>14</v>
      </c>
      <c r="B12" s="198">
        <v>130</v>
      </c>
      <c r="C12" s="197" t="s">
        <v>306</v>
      </c>
      <c r="D12" s="199">
        <v>6.7625000000000002</v>
      </c>
      <c r="E12" s="199">
        <v>6.9999999999999973</v>
      </c>
      <c r="F12" s="199">
        <v>-0.23749999999999716</v>
      </c>
      <c r="G12" s="200">
        <v>0</v>
      </c>
      <c r="H12" s="200">
        <v>0</v>
      </c>
      <c r="I12" s="197" t="s">
        <v>362</v>
      </c>
      <c r="J12" s="200"/>
      <c r="K12" s="200"/>
      <c r="L12" s="138"/>
    </row>
    <row r="13" spans="1:13" x14ac:dyDescent="0.3">
      <c r="A13" s="198">
        <v>15</v>
      </c>
      <c r="B13" s="198">
        <v>113</v>
      </c>
      <c r="C13" s="197" t="s">
        <v>157</v>
      </c>
      <c r="D13" s="199">
        <v>6.5048611111111114</v>
      </c>
      <c r="E13" s="199">
        <v>5.9999999999999982</v>
      </c>
      <c r="F13" s="202">
        <v>0.5048611111111132</v>
      </c>
      <c r="G13" s="200">
        <v>2</v>
      </c>
      <c r="H13" s="200">
        <v>1</v>
      </c>
      <c r="I13" s="197" t="s">
        <v>368</v>
      </c>
      <c r="J13" s="200">
        <v>1</v>
      </c>
      <c r="K13" s="200"/>
      <c r="L13" s="138"/>
    </row>
    <row r="14" spans="1:13" x14ac:dyDescent="0.3">
      <c r="A14" s="198">
        <v>16</v>
      </c>
      <c r="B14" s="198">
        <v>146</v>
      </c>
      <c r="C14" s="197" t="s">
        <v>369</v>
      </c>
      <c r="D14" s="199">
        <v>7.0770833333333325</v>
      </c>
      <c r="E14" s="199">
        <v>6.6666666666666643</v>
      </c>
      <c r="F14" s="199">
        <v>0.41041666666666821</v>
      </c>
      <c r="G14" s="200">
        <v>1</v>
      </c>
      <c r="H14" s="200">
        <v>0</v>
      </c>
      <c r="I14" s="197" t="s">
        <v>362</v>
      </c>
      <c r="J14" s="200"/>
      <c r="K14" s="200"/>
      <c r="L14" s="138"/>
    </row>
    <row r="15" spans="1:13" x14ac:dyDescent="0.3">
      <c r="A15" s="198">
        <v>17</v>
      </c>
      <c r="B15" s="198">
        <v>147</v>
      </c>
      <c r="C15" s="197" t="s">
        <v>370</v>
      </c>
      <c r="D15" s="199">
        <v>5.8055555555555554</v>
      </c>
      <c r="E15" s="199">
        <v>5.9999999999999982</v>
      </c>
      <c r="F15" s="199">
        <v>-0.19444444444444287</v>
      </c>
      <c r="G15" s="200">
        <v>0</v>
      </c>
      <c r="H15" s="200">
        <v>3</v>
      </c>
      <c r="I15" s="197" t="s">
        <v>371</v>
      </c>
      <c r="J15" s="200">
        <v>3</v>
      </c>
      <c r="K15" s="200"/>
      <c r="L15" s="138"/>
    </row>
    <row r="16" spans="1:13" x14ac:dyDescent="0.3">
      <c r="A16" s="198">
        <v>18</v>
      </c>
      <c r="B16" s="198">
        <v>150</v>
      </c>
      <c r="C16" s="197" t="s">
        <v>372</v>
      </c>
      <c r="D16" s="199">
        <v>6.5902777777777777</v>
      </c>
      <c r="E16" s="199">
        <v>6.9999999999999973</v>
      </c>
      <c r="F16" s="199">
        <v>-0.40972222222221966</v>
      </c>
      <c r="G16" s="200">
        <v>0</v>
      </c>
      <c r="H16" s="200">
        <v>0</v>
      </c>
      <c r="I16" s="197" t="s">
        <v>362</v>
      </c>
      <c r="J16" s="200"/>
      <c r="K16" s="200"/>
      <c r="L16" s="138"/>
    </row>
    <row r="17" spans="1:12" x14ac:dyDescent="0.3">
      <c r="A17" s="198">
        <v>19</v>
      </c>
      <c r="B17" s="198">
        <v>173</v>
      </c>
      <c r="C17" s="197" t="s">
        <v>373</v>
      </c>
      <c r="D17" s="199">
        <v>7.1062500000000011</v>
      </c>
      <c r="E17" s="199">
        <v>6.9999999999999973</v>
      </c>
      <c r="F17" s="199">
        <v>0.10625000000000373</v>
      </c>
      <c r="G17" s="200">
        <v>0</v>
      </c>
      <c r="H17" s="200">
        <v>0</v>
      </c>
      <c r="I17" s="197" t="s">
        <v>362</v>
      </c>
      <c r="J17" s="200"/>
      <c r="K17" s="200"/>
      <c r="L17" s="138"/>
    </row>
    <row r="18" spans="1:12" x14ac:dyDescent="0.3">
      <c r="A18" s="198">
        <v>20</v>
      </c>
      <c r="B18" s="198">
        <v>174</v>
      </c>
      <c r="C18" s="197" t="s">
        <v>374</v>
      </c>
      <c r="D18" s="199">
        <v>5.4027777777777777</v>
      </c>
      <c r="E18" s="199">
        <v>5.3333333333333321</v>
      </c>
      <c r="F18" s="199">
        <v>6.944444444444553E-2</v>
      </c>
      <c r="G18" s="200">
        <v>3</v>
      </c>
      <c r="H18" s="200">
        <v>2</v>
      </c>
      <c r="I18" s="197" t="s">
        <v>375</v>
      </c>
      <c r="J18" s="200">
        <v>1.5</v>
      </c>
      <c r="K18" s="200"/>
      <c r="L18" s="138"/>
    </row>
    <row r="19" spans="1:12" x14ac:dyDescent="0.3">
      <c r="A19" s="198">
        <v>21</v>
      </c>
      <c r="B19" s="198">
        <v>33</v>
      </c>
      <c r="C19" s="197" t="s">
        <v>376</v>
      </c>
      <c r="D19" s="199">
        <v>1.0340277777777778</v>
      </c>
      <c r="E19" s="199">
        <v>1.3333333333333333</v>
      </c>
      <c r="F19" s="199">
        <v>-0.29930555555555549</v>
      </c>
      <c r="G19" s="201">
        <v>9</v>
      </c>
      <c r="H19" s="201">
        <v>8</v>
      </c>
      <c r="I19" s="197" t="s">
        <v>377</v>
      </c>
      <c r="J19" s="200">
        <v>12.5</v>
      </c>
      <c r="K19" s="200"/>
      <c r="L19" s="138"/>
    </row>
    <row r="20" spans="1:12" x14ac:dyDescent="0.3">
      <c r="A20" s="198">
        <v>22</v>
      </c>
      <c r="B20" s="198">
        <v>18</v>
      </c>
      <c r="C20" s="197" t="s">
        <v>307</v>
      </c>
      <c r="D20" s="199">
        <v>5.6375000000000002</v>
      </c>
      <c r="E20" s="199">
        <v>5.9999999999999982</v>
      </c>
      <c r="F20" s="199">
        <v>-0.36249999999999805</v>
      </c>
      <c r="G20" s="200">
        <v>3</v>
      </c>
      <c r="H20" s="200">
        <v>0</v>
      </c>
      <c r="I20" s="197" t="s">
        <v>362</v>
      </c>
      <c r="J20" s="200"/>
      <c r="K20" s="200"/>
      <c r="L20" s="138"/>
    </row>
    <row r="21" spans="1:12" x14ac:dyDescent="0.3">
      <c r="A21" s="198">
        <v>23</v>
      </c>
      <c r="B21" s="198">
        <v>171</v>
      </c>
      <c r="C21" s="197" t="s">
        <v>378</v>
      </c>
      <c r="D21" s="199">
        <v>4.4249999999999989</v>
      </c>
      <c r="E21" s="199">
        <v>4.9999999999999991</v>
      </c>
      <c r="F21" s="199">
        <v>-0.57500000000000018</v>
      </c>
      <c r="G21" s="200">
        <v>0</v>
      </c>
      <c r="H21" s="200">
        <v>7</v>
      </c>
      <c r="I21" s="197" t="s">
        <v>379</v>
      </c>
      <c r="J21" s="200">
        <v>1</v>
      </c>
      <c r="K21" s="200">
        <v>13</v>
      </c>
      <c r="L21" s="138"/>
    </row>
    <row r="22" spans="1:12" x14ac:dyDescent="0.3">
      <c r="A22" s="198">
        <v>24</v>
      </c>
      <c r="B22" s="198">
        <v>152</v>
      </c>
      <c r="C22" s="197" t="s">
        <v>308</v>
      </c>
      <c r="D22" s="199">
        <v>6.947222222222222</v>
      </c>
      <c r="E22" s="199">
        <v>6.6666666666666643</v>
      </c>
      <c r="F22" s="199">
        <v>0.28055555555555767</v>
      </c>
      <c r="G22" s="200">
        <v>1</v>
      </c>
      <c r="H22" s="200">
        <v>0</v>
      </c>
      <c r="I22" s="197" t="s">
        <v>362</v>
      </c>
      <c r="J22" s="200"/>
      <c r="K22" s="200"/>
      <c r="L22" s="138"/>
    </row>
    <row r="23" spans="1:12" x14ac:dyDescent="0.3">
      <c r="A23" s="198">
        <v>25</v>
      </c>
      <c r="B23" s="198">
        <v>7</v>
      </c>
      <c r="C23" s="197" t="s">
        <v>309</v>
      </c>
      <c r="D23" s="199">
        <v>5.9868055555555557</v>
      </c>
      <c r="E23" s="199">
        <v>6.6666666666666643</v>
      </c>
      <c r="F23" s="199">
        <v>-0.67986111111110858</v>
      </c>
      <c r="G23" s="200">
        <v>1</v>
      </c>
      <c r="H23" s="200">
        <v>0</v>
      </c>
      <c r="I23" s="197" t="s">
        <v>380</v>
      </c>
      <c r="J23" s="200"/>
      <c r="K23" s="200">
        <v>8</v>
      </c>
      <c r="L23" s="138"/>
    </row>
    <row r="24" spans="1:12" x14ac:dyDescent="0.3">
      <c r="A24" s="198">
        <v>26</v>
      </c>
      <c r="B24" s="198">
        <v>37</v>
      </c>
      <c r="C24" s="197" t="s">
        <v>310</v>
      </c>
      <c r="D24" s="199">
        <v>7.3305555555555557</v>
      </c>
      <c r="E24" s="199">
        <v>6.9999999999999973</v>
      </c>
      <c r="F24" s="199">
        <v>0.33055555555555838</v>
      </c>
      <c r="G24" s="200">
        <v>0</v>
      </c>
      <c r="H24" s="200">
        <v>0</v>
      </c>
      <c r="I24" s="197" t="s">
        <v>362</v>
      </c>
      <c r="J24" s="200"/>
      <c r="K24" s="200"/>
      <c r="L24" s="138"/>
    </row>
    <row r="25" spans="1:12" x14ac:dyDescent="0.3">
      <c r="A25" s="198">
        <v>27</v>
      </c>
      <c r="B25" s="198">
        <v>8</v>
      </c>
      <c r="C25" s="197" t="s">
        <v>161</v>
      </c>
      <c r="D25" s="199">
        <v>5.6888888888888882</v>
      </c>
      <c r="E25" s="199">
        <v>6.1250000000000018</v>
      </c>
      <c r="F25" s="199">
        <v>-0.43611111111111356</v>
      </c>
      <c r="G25" s="200">
        <v>0</v>
      </c>
      <c r="H25" s="200">
        <v>0</v>
      </c>
      <c r="I25" s="197" t="s">
        <v>381</v>
      </c>
      <c r="J25" s="200"/>
      <c r="K25" s="200">
        <v>2</v>
      </c>
      <c r="L25" s="138"/>
    </row>
    <row r="26" spans="1:12" x14ac:dyDescent="0.3">
      <c r="A26" s="198">
        <v>28</v>
      </c>
      <c r="B26" s="198">
        <v>70</v>
      </c>
      <c r="C26" s="197" t="s">
        <v>264</v>
      </c>
      <c r="D26" s="199">
        <v>7.5347222222222214</v>
      </c>
      <c r="E26" s="199">
        <v>6.9999999999999973</v>
      </c>
      <c r="F26" s="199">
        <v>0.5347222222222241</v>
      </c>
      <c r="G26" s="200">
        <v>0</v>
      </c>
      <c r="H26" s="200">
        <v>1</v>
      </c>
      <c r="I26" s="197" t="s">
        <v>382</v>
      </c>
      <c r="J26" s="200"/>
      <c r="K26" s="200"/>
      <c r="L26" s="138"/>
    </row>
    <row r="27" spans="1:12" x14ac:dyDescent="0.3">
      <c r="A27" s="198">
        <v>29</v>
      </c>
      <c r="B27" s="198">
        <v>180</v>
      </c>
      <c r="C27" s="197" t="s">
        <v>276</v>
      </c>
      <c r="D27" s="199">
        <v>7.3694444444444445</v>
      </c>
      <c r="E27" s="199">
        <v>6.9999999999999973</v>
      </c>
      <c r="F27" s="199">
        <v>0.36944444444444713</v>
      </c>
      <c r="G27" s="200">
        <v>0</v>
      </c>
      <c r="H27" s="200">
        <v>0</v>
      </c>
      <c r="I27" s="197" t="s">
        <v>362</v>
      </c>
      <c r="J27" s="200"/>
      <c r="K27" s="200"/>
      <c r="L27" s="138"/>
    </row>
    <row r="28" spans="1:12" x14ac:dyDescent="0.3">
      <c r="A28" s="198">
        <v>30</v>
      </c>
      <c r="B28" s="198">
        <v>82</v>
      </c>
      <c r="C28" s="197" t="s">
        <v>311</v>
      </c>
      <c r="D28" s="199">
        <v>6.5222222222222239</v>
      </c>
      <c r="E28" s="199">
        <v>6.3333333333333313</v>
      </c>
      <c r="F28" s="199">
        <v>0.18888888888889266</v>
      </c>
      <c r="G28" s="200">
        <v>2</v>
      </c>
      <c r="H28" s="200">
        <v>0</v>
      </c>
      <c r="I28" s="197" t="s">
        <v>362</v>
      </c>
      <c r="J28" s="200"/>
      <c r="K28" s="200"/>
      <c r="L28" s="138"/>
    </row>
    <row r="29" spans="1:12" x14ac:dyDescent="0.3">
      <c r="A29" s="198">
        <v>31</v>
      </c>
      <c r="B29" s="198">
        <v>49</v>
      </c>
      <c r="C29" s="197" t="s">
        <v>383</v>
      </c>
      <c r="D29" s="199">
        <v>6.9298611111111104</v>
      </c>
      <c r="E29" s="199">
        <v>6.9999999999999973</v>
      </c>
      <c r="F29" s="199">
        <v>-7.0138888888886974E-2</v>
      </c>
      <c r="G29" s="200">
        <v>0</v>
      </c>
      <c r="H29" s="200">
        <v>0</v>
      </c>
      <c r="I29" s="197" t="s">
        <v>384</v>
      </c>
      <c r="J29" s="200"/>
      <c r="K29" s="200"/>
      <c r="L29" s="138"/>
    </row>
    <row r="30" spans="1:12" x14ac:dyDescent="0.3">
      <c r="A30" s="198">
        <v>32</v>
      </c>
      <c r="B30" s="198">
        <v>133</v>
      </c>
      <c r="C30" s="197" t="s">
        <v>312</v>
      </c>
      <c r="D30" s="199">
        <v>6.3798611111111114</v>
      </c>
      <c r="E30" s="199">
        <v>6.6666666666666643</v>
      </c>
      <c r="F30" s="199">
        <v>-0.28680555555555287</v>
      </c>
      <c r="G30" s="200">
        <v>1</v>
      </c>
      <c r="H30" s="200">
        <v>0</v>
      </c>
      <c r="I30" s="197" t="s">
        <v>362</v>
      </c>
      <c r="J30" s="200"/>
      <c r="K30" s="200"/>
      <c r="L30" s="138"/>
    </row>
    <row r="31" spans="1:12" x14ac:dyDescent="0.3">
      <c r="A31" s="198">
        <v>33</v>
      </c>
      <c r="B31" s="198">
        <v>175</v>
      </c>
      <c r="C31" s="197" t="s">
        <v>275</v>
      </c>
      <c r="D31" s="199">
        <v>6.5416666666666679</v>
      </c>
      <c r="E31" s="199">
        <v>6.6666666666666643</v>
      </c>
      <c r="F31" s="199">
        <v>-0.12499999999999645</v>
      </c>
      <c r="G31" s="200">
        <v>1</v>
      </c>
      <c r="H31" s="200">
        <v>0</v>
      </c>
      <c r="I31" s="197" t="s">
        <v>364</v>
      </c>
      <c r="J31" s="200">
        <v>1</v>
      </c>
      <c r="K31" s="200"/>
      <c r="L31" s="138"/>
    </row>
    <row r="32" spans="1:12" x14ac:dyDescent="0.3">
      <c r="A32" s="198">
        <v>34</v>
      </c>
      <c r="B32" s="198">
        <v>26</v>
      </c>
      <c r="C32" s="197" t="s">
        <v>141</v>
      </c>
      <c r="D32" s="199">
        <v>6.5673611111111114</v>
      </c>
      <c r="E32" s="199">
        <v>6.3333333333333313</v>
      </c>
      <c r="F32" s="199">
        <v>0.23402777777778017</v>
      </c>
      <c r="G32" s="200">
        <v>0</v>
      </c>
      <c r="H32" s="200">
        <v>2</v>
      </c>
      <c r="I32" s="197" t="s">
        <v>385</v>
      </c>
      <c r="J32" s="201">
        <v>2</v>
      </c>
      <c r="K32" s="200"/>
      <c r="L32" s="138"/>
    </row>
    <row r="33" spans="1:12" x14ac:dyDescent="0.3">
      <c r="A33" s="198">
        <v>35</v>
      </c>
      <c r="B33" s="198">
        <v>47</v>
      </c>
      <c r="C33" s="197" t="s">
        <v>313</v>
      </c>
      <c r="D33" s="199">
        <v>5.884722222222222</v>
      </c>
      <c r="E33" s="199">
        <v>6.6666666666666643</v>
      </c>
      <c r="F33" s="199">
        <v>-0.78194444444444233</v>
      </c>
      <c r="G33" s="200">
        <v>0</v>
      </c>
      <c r="H33" s="200">
        <v>0</v>
      </c>
      <c r="I33" s="197" t="s">
        <v>386</v>
      </c>
      <c r="J33" s="200"/>
      <c r="K33" s="200">
        <v>10</v>
      </c>
      <c r="L33" s="138"/>
    </row>
    <row r="34" spans="1:12" x14ac:dyDescent="0.3">
      <c r="A34" s="198">
        <v>36</v>
      </c>
      <c r="B34" s="198">
        <v>44</v>
      </c>
      <c r="C34" s="197" t="s">
        <v>314</v>
      </c>
      <c r="D34" s="199">
        <v>5.3833333333333337</v>
      </c>
      <c r="E34" s="199">
        <v>5.6666666666666652</v>
      </c>
      <c r="F34" s="199">
        <v>-0.28333333333333144</v>
      </c>
      <c r="G34" s="200">
        <v>4</v>
      </c>
      <c r="H34" s="200">
        <v>0</v>
      </c>
      <c r="I34" s="197" t="s">
        <v>387</v>
      </c>
      <c r="J34" s="200"/>
      <c r="K34" s="200"/>
      <c r="L34" s="138"/>
    </row>
    <row r="35" spans="1:12" x14ac:dyDescent="0.3">
      <c r="A35" s="198">
        <v>37</v>
      </c>
      <c r="B35" s="198">
        <v>140</v>
      </c>
      <c r="C35" s="197" t="s">
        <v>315</v>
      </c>
      <c r="D35" s="199">
        <v>4.3868055555555552</v>
      </c>
      <c r="E35" s="199">
        <v>5.3333333333333321</v>
      </c>
      <c r="F35" s="199">
        <v>-0.94652777777777697</v>
      </c>
      <c r="G35" s="200">
        <v>0</v>
      </c>
      <c r="H35" s="200">
        <v>5</v>
      </c>
      <c r="I35" s="197" t="s">
        <v>362</v>
      </c>
      <c r="J35" s="200">
        <v>5</v>
      </c>
      <c r="K35" s="200">
        <v>22</v>
      </c>
      <c r="L35" s="138"/>
    </row>
    <row r="36" spans="1:12" x14ac:dyDescent="0.3">
      <c r="A36" s="198">
        <v>38</v>
      </c>
      <c r="B36" s="198">
        <v>155</v>
      </c>
      <c r="C36" s="197" t="s">
        <v>316</v>
      </c>
      <c r="D36" s="199">
        <v>6.6125000000000007</v>
      </c>
      <c r="E36" s="199">
        <v>6.6666666666666643</v>
      </c>
      <c r="F36" s="199">
        <v>-5.4166666666663588E-2</v>
      </c>
      <c r="G36" s="200">
        <v>0</v>
      </c>
      <c r="H36" s="200">
        <v>0</v>
      </c>
      <c r="I36" s="197" t="s">
        <v>362</v>
      </c>
      <c r="J36" s="200"/>
      <c r="K36" s="200"/>
      <c r="L36" s="138"/>
    </row>
    <row r="37" spans="1:12" x14ac:dyDescent="0.3">
      <c r="A37" s="198">
        <v>39</v>
      </c>
      <c r="B37" s="198">
        <v>162</v>
      </c>
      <c r="C37" s="197" t="s">
        <v>388</v>
      </c>
      <c r="D37" s="199">
        <v>6.59375</v>
      </c>
      <c r="E37" s="199">
        <v>6.9999999999999973</v>
      </c>
      <c r="F37" s="199">
        <v>-0.40624999999999734</v>
      </c>
      <c r="G37" s="200">
        <v>0</v>
      </c>
      <c r="H37" s="200">
        <v>0</v>
      </c>
      <c r="I37" s="197" t="s">
        <v>362</v>
      </c>
      <c r="J37" s="200"/>
      <c r="K37" s="200">
        <v>1.75</v>
      </c>
      <c r="L37" s="138"/>
    </row>
    <row r="38" spans="1:12" x14ac:dyDescent="0.3">
      <c r="A38" s="198">
        <v>40</v>
      </c>
      <c r="B38" s="198">
        <v>149</v>
      </c>
      <c r="C38" t="s">
        <v>280</v>
      </c>
      <c r="D38" s="199">
        <v>6.9999999999999973</v>
      </c>
      <c r="E38" s="199">
        <v>6.9999999999999973</v>
      </c>
      <c r="F38" s="199">
        <v>-0.40624999999999734</v>
      </c>
      <c r="G38" s="203"/>
      <c r="H38" s="203"/>
      <c r="I38" s="197"/>
      <c r="J38" s="203"/>
      <c r="K38" s="203"/>
      <c r="L38" s="138"/>
    </row>
    <row r="39" spans="1:12" x14ac:dyDescent="0.3">
      <c r="A39" s="198">
        <v>41</v>
      </c>
      <c r="B39" s="198">
        <v>151</v>
      </c>
      <c r="C39" t="s">
        <v>317</v>
      </c>
      <c r="D39" s="199">
        <v>6.9999999999999973</v>
      </c>
      <c r="E39" s="199">
        <v>6.9999999999999973</v>
      </c>
      <c r="F39" s="199">
        <v>-0.40624999999999734</v>
      </c>
      <c r="G39" s="203"/>
      <c r="H39" s="203"/>
      <c r="I39" s="197"/>
      <c r="J39" s="203"/>
      <c r="K39" s="203"/>
      <c r="L39" s="138"/>
    </row>
    <row r="40" spans="1:12" x14ac:dyDescent="0.3">
      <c r="A40" s="198">
        <v>42</v>
      </c>
      <c r="B40" s="198">
        <v>156</v>
      </c>
      <c r="C40" t="s">
        <v>279</v>
      </c>
      <c r="D40" s="199">
        <v>6.9999999999999973</v>
      </c>
      <c r="E40" s="199">
        <v>6.9999999999999973</v>
      </c>
      <c r="F40" s="199">
        <v>-0.40624999999999734</v>
      </c>
      <c r="G40" s="203"/>
      <c r="H40" s="203"/>
      <c r="I40" s="197"/>
      <c r="J40" s="203"/>
      <c r="K40" s="203"/>
      <c r="L40" s="138"/>
    </row>
    <row r="41" spans="1:12" x14ac:dyDescent="0.3">
      <c r="A41" s="198">
        <v>43</v>
      </c>
      <c r="B41" s="198">
        <v>89</v>
      </c>
      <c r="C41" s="197" t="s">
        <v>318</v>
      </c>
      <c r="D41" s="199">
        <v>7.0236111111111112</v>
      </c>
      <c r="E41" s="199">
        <v>6.9999999999999973</v>
      </c>
      <c r="F41" s="199">
        <v>2.3611111111113914E-2</v>
      </c>
      <c r="G41" s="203">
        <v>0</v>
      </c>
      <c r="H41" s="203">
        <v>0</v>
      </c>
      <c r="I41" s="197" t="s">
        <v>362</v>
      </c>
      <c r="J41" s="203"/>
      <c r="K41" s="203"/>
      <c r="L41" s="138"/>
    </row>
    <row r="42" spans="1:12" x14ac:dyDescent="0.3">
      <c r="A42" s="198">
        <v>44</v>
      </c>
      <c r="B42" s="198">
        <v>80</v>
      </c>
      <c r="C42" s="197" t="s">
        <v>389</v>
      </c>
      <c r="D42" s="199">
        <v>6.0756944444444425</v>
      </c>
      <c r="E42" s="199">
        <v>6.6666666666666643</v>
      </c>
      <c r="F42" s="199">
        <v>-0.59097222222222179</v>
      </c>
      <c r="G42" s="203">
        <v>1</v>
      </c>
      <c r="H42" s="203">
        <v>0</v>
      </c>
      <c r="I42" s="197" t="s">
        <v>362</v>
      </c>
      <c r="J42" s="203"/>
      <c r="K42" s="203"/>
      <c r="L42" s="138"/>
    </row>
    <row r="43" spans="1:12" x14ac:dyDescent="0.3">
      <c r="A43" s="198">
        <v>45</v>
      </c>
      <c r="B43" s="198">
        <v>157</v>
      </c>
      <c r="C43" s="197" t="s">
        <v>202</v>
      </c>
      <c r="D43" s="199">
        <v>1.5215277777777778</v>
      </c>
      <c r="E43" s="199">
        <v>1.9999999999999998</v>
      </c>
      <c r="F43" s="199">
        <v>-0.47847222222222197</v>
      </c>
      <c r="G43" s="203">
        <v>10</v>
      </c>
      <c r="H43" s="203">
        <v>5</v>
      </c>
      <c r="I43" s="197" t="s">
        <v>390</v>
      </c>
      <c r="J43" s="203">
        <v>5</v>
      </c>
      <c r="K43" s="203">
        <v>3</v>
      </c>
      <c r="L43" s="138"/>
    </row>
    <row r="44" spans="1:12" x14ac:dyDescent="0.3">
      <c r="A44" s="198">
        <v>46</v>
      </c>
      <c r="B44" s="198">
        <v>159</v>
      </c>
      <c r="C44" s="197" t="s">
        <v>391</v>
      </c>
      <c r="D44" s="199">
        <v>6.4395833333333341</v>
      </c>
      <c r="E44" s="199">
        <v>6.6666666666666643</v>
      </c>
      <c r="F44" s="199">
        <v>-0.2270833333333302</v>
      </c>
      <c r="G44" s="203">
        <v>1</v>
      </c>
      <c r="H44" s="203">
        <v>0</v>
      </c>
      <c r="I44" s="197" t="s">
        <v>362</v>
      </c>
      <c r="J44" s="203"/>
      <c r="K44" s="203"/>
    </row>
  </sheetData>
  <autoFilter ref="A1:L43" xr:uid="{27DCCD72-54DD-4466-86F7-84D37A938555}"/>
  <conditionalFormatting sqref="G3:G44">
    <cfRule type="cellIs" dxfId="2" priority="3" operator="greaterThan">
      <formula>0</formula>
    </cfRule>
  </conditionalFormatting>
  <conditionalFormatting sqref="H3:H44">
    <cfRule type="cellIs" dxfId="1" priority="2" operator="greaterThan">
      <formula>0</formula>
    </cfRule>
  </conditionalFormatting>
  <conditionalFormatting sqref="J3:K44">
    <cfRule type="cellIs" dxfId="0" priority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E581F-51A1-45DC-9133-1D5126C53B6C}">
  <sheetPr codeName="Sheet13"/>
  <dimension ref="A1:CA49"/>
  <sheetViews>
    <sheetView topLeftCell="A3" zoomScale="85" zoomScaleNormal="85" workbookViewId="0">
      <pane xSplit="2" ySplit="4" topLeftCell="AF31" activePane="bottomRight" state="frozen"/>
      <selection activeCell="R23" sqref="R23"/>
      <selection pane="topRight" activeCell="R23" sqref="R23"/>
      <selection pane="bottomLeft" activeCell="R23" sqref="R23"/>
      <selection pane="bottomRight" activeCell="R23" sqref="R23"/>
    </sheetView>
  </sheetViews>
  <sheetFormatPr defaultColWidth="8.88671875" defaultRowHeight="14.4" x14ac:dyDescent="0.3"/>
  <cols>
    <col min="1" max="1" width="13.109375" style="150" bestFit="1" customWidth="1"/>
    <col min="2" max="2" width="33" style="149" bestFit="1" customWidth="1"/>
    <col min="3" max="62" width="4" style="148" customWidth="1"/>
    <col min="63" max="63" width="10.88671875" style="148" bestFit="1" customWidth="1"/>
    <col min="64" max="64" width="9.44140625" style="148" bestFit="1" customWidth="1"/>
    <col min="65" max="65" width="9.44140625" style="148" customWidth="1"/>
    <col min="66" max="66" width="10" style="148" bestFit="1" customWidth="1"/>
    <col min="67" max="68" width="10" style="148" customWidth="1"/>
    <col min="69" max="70" width="15.88671875" style="148" customWidth="1"/>
    <col min="71" max="74" width="4" style="148" customWidth="1"/>
    <col min="75" max="16384" width="8.88671875" style="148"/>
  </cols>
  <sheetData>
    <row r="1" spans="1:79" x14ac:dyDescent="0.3">
      <c r="A1" s="190" t="s">
        <v>348</v>
      </c>
      <c r="G1" s="189"/>
      <c r="H1" s="148" t="s">
        <v>347</v>
      </c>
    </row>
    <row r="2" spans="1:79" x14ac:dyDescent="0.3">
      <c r="G2" s="188"/>
      <c r="H2" s="148" t="s">
        <v>346</v>
      </c>
    </row>
    <row r="3" spans="1:79" x14ac:dyDescent="0.3">
      <c r="C3" s="148">
        <f>COLUMN()</f>
        <v>3</v>
      </c>
      <c r="D3" s="148">
        <f>COLUMN()</f>
        <v>4</v>
      </c>
      <c r="E3" s="148">
        <f>COLUMN()</f>
        <v>5</v>
      </c>
      <c r="F3" s="148">
        <f>COLUMN()</f>
        <v>6</v>
      </c>
      <c r="G3" s="148">
        <f>COLUMN()</f>
        <v>7</v>
      </c>
      <c r="H3" s="148">
        <f>COLUMN()</f>
        <v>8</v>
      </c>
      <c r="I3" s="148">
        <f>COLUMN()</f>
        <v>9</v>
      </c>
      <c r="J3" s="148">
        <f>COLUMN()</f>
        <v>10</v>
      </c>
      <c r="K3" s="148">
        <f>COLUMN()</f>
        <v>11</v>
      </c>
      <c r="L3" s="148">
        <f>COLUMN()</f>
        <v>12</v>
      </c>
      <c r="M3" s="148">
        <f>COLUMN()</f>
        <v>13</v>
      </c>
      <c r="N3" s="148">
        <f>COLUMN()</f>
        <v>14</v>
      </c>
      <c r="O3" s="148">
        <f>COLUMN()</f>
        <v>15</v>
      </c>
      <c r="P3" s="148">
        <f>COLUMN()</f>
        <v>16</v>
      </c>
      <c r="Q3" s="148">
        <f>COLUMN()</f>
        <v>17</v>
      </c>
      <c r="R3" s="148">
        <f>COLUMN()</f>
        <v>18</v>
      </c>
      <c r="S3" s="148">
        <f>COLUMN()</f>
        <v>19</v>
      </c>
      <c r="T3" s="148">
        <f>COLUMN()</f>
        <v>20</v>
      </c>
      <c r="U3" s="148">
        <f>COLUMN()</f>
        <v>21</v>
      </c>
      <c r="V3" s="148">
        <f>COLUMN()</f>
        <v>22</v>
      </c>
      <c r="W3" s="148">
        <f>COLUMN()</f>
        <v>23</v>
      </c>
      <c r="X3" s="148">
        <f>COLUMN()</f>
        <v>24</v>
      </c>
      <c r="Y3" s="148">
        <f>COLUMN()</f>
        <v>25</v>
      </c>
      <c r="Z3" s="148">
        <f>COLUMN()</f>
        <v>26</v>
      </c>
      <c r="AA3" s="148">
        <f>COLUMN()</f>
        <v>27</v>
      </c>
      <c r="AB3" s="148">
        <f>COLUMN()</f>
        <v>28</v>
      </c>
      <c r="AC3" s="148">
        <f>COLUMN()</f>
        <v>29</v>
      </c>
      <c r="AD3" s="148">
        <f>COLUMN()</f>
        <v>30</v>
      </c>
      <c r="AE3" s="148">
        <f>COLUMN()</f>
        <v>31</v>
      </c>
      <c r="AF3" s="148">
        <f>COLUMN()</f>
        <v>32</v>
      </c>
      <c r="AG3" s="148">
        <f>COLUMN()</f>
        <v>33</v>
      </c>
      <c r="AH3" s="148">
        <f>COLUMN()</f>
        <v>34</v>
      </c>
      <c r="AI3" s="148">
        <f>COLUMN()</f>
        <v>35</v>
      </c>
      <c r="AJ3" s="148">
        <f>COLUMN()</f>
        <v>36</v>
      </c>
      <c r="AK3" s="148">
        <f>COLUMN()</f>
        <v>37</v>
      </c>
      <c r="AL3" s="148">
        <f>COLUMN()</f>
        <v>38</v>
      </c>
      <c r="AM3" s="148">
        <f>COLUMN()</f>
        <v>39</v>
      </c>
      <c r="AN3" s="148">
        <f>COLUMN()</f>
        <v>40</v>
      </c>
      <c r="AO3" s="148">
        <f>COLUMN()</f>
        <v>41</v>
      </c>
      <c r="AP3" s="148">
        <f>COLUMN()</f>
        <v>42</v>
      </c>
      <c r="AQ3" s="148">
        <f>COLUMN()</f>
        <v>43</v>
      </c>
      <c r="AR3" s="148">
        <f>COLUMN()</f>
        <v>44</v>
      </c>
      <c r="AS3" s="148">
        <f>COLUMN()</f>
        <v>45</v>
      </c>
      <c r="AT3" s="148">
        <f>COLUMN()</f>
        <v>46</v>
      </c>
      <c r="AU3" s="148">
        <f>COLUMN()</f>
        <v>47</v>
      </c>
      <c r="AV3" s="148">
        <f>COLUMN()</f>
        <v>48</v>
      </c>
      <c r="AW3" s="148">
        <f>COLUMN()</f>
        <v>49</v>
      </c>
      <c r="AX3" s="148">
        <f>COLUMN()</f>
        <v>50</v>
      </c>
      <c r="AY3" s="148">
        <f>COLUMN()</f>
        <v>51</v>
      </c>
      <c r="AZ3" s="148">
        <f>COLUMN()</f>
        <v>52</v>
      </c>
      <c r="BA3" s="148">
        <f>COLUMN()</f>
        <v>53</v>
      </c>
      <c r="BB3" s="148">
        <f>COLUMN()</f>
        <v>54</v>
      </c>
      <c r="BC3" s="148">
        <f>COLUMN()</f>
        <v>55</v>
      </c>
      <c r="BD3" s="148">
        <f>COLUMN()</f>
        <v>56</v>
      </c>
      <c r="BE3" s="148">
        <f>COLUMN()</f>
        <v>57</v>
      </c>
      <c r="BF3" s="148">
        <f>COLUMN()</f>
        <v>58</v>
      </c>
      <c r="BG3" s="148">
        <f>COLUMN()</f>
        <v>59</v>
      </c>
      <c r="BH3" s="148">
        <f>COLUMN()</f>
        <v>60</v>
      </c>
      <c r="BI3" s="148">
        <f>COLUMN()</f>
        <v>61</v>
      </c>
      <c r="BJ3" s="148">
        <f>COLUMN()</f>
        <v>62</v>
      </c>
      <c r="BK3" s="148">
        <f>COLUMN()</f>
        <v>63</v>
      </c>
      <c r="BL3" s="148">
        <f>COLUMN()</f>
        <v>64</v>
      </c>
      <c r="BM3" s="148">
        <f>COLUMN()</f>
        <v>65</v>
      </c>
      <c r="BN3" s="148">
        <f>COLUMN()</f>
        <v>66</v>
      </c>
      <c r="BO3" s="148">
        <f>COLUMN()</f>
        <v>67</v>
      </c>
      <c r="BP3" s="148">
        <f>COLUMN()</f>
        <v>68</v>
      </c>
      <c r="BQ3" s="148">
        <f>COLUMN()</f>
        <v>69</v>
      </c>
    </row>
    <row r="4" spans="1:79" s="177" customFormat="1" ht="16.2" thickBot="1" x14ac:dyDescent="0.35">
      <c r="A4" s="779" t="s">
        <v>345</v>
      </c>
      <c r="B4" s="782" t="s">
        <v>123</v>
      </c>
      <c r="C4" s="785" t="s">
        <v>344</v>
      </c>
      <c r="D4" s="785"/>
      <c r="E4" s="785"/>
      <c r="F4" s="785"/>
      <c r="G4" s="785"/>
      <c r="H4" s="785"/>
      <c r="I4" s="785"/>
      <c r="J4" s="785"/>
      <c r="K4" s="785"/>
      <c r="L4" s="785"/>
      <c r="M4" s="785"/>
      <c r="N4" s="785"/>
      <c r="O4" s="785"/>
      <c r="P4" s="785"/>
      <c r="Q4" s="785"/>
      <c r="R4" s="785"/>
      <c r="S4" s="785"/>
      <c r="T4" s="785"/>
      <c r="U4" s="785"/>
      <c r="V4" s="785"/>
      <c r="W4" s="785"/>
      <c r="X4" s="785"/>
      <c r="Y4" s="785"/>
      <c r="Z4" s="785"/>
      <c r="AA4" s="785"/>
      <c r="AB4" s="785"/>
      <c r="AC4" s="785"/>
      <c r="AD4" s="785"/>
      <c r="AE4" s="785"/>
      <c r="AF4" s="785"/>
      <c r="AG4" s="785"/>
      <c r="AH4" s="785"/>
      <c r="AI4" s="785"/>
      <c r="AJ4" s="785"/>
      <c r="AK4" s="785"/>
      <c r="AL4" s="785"/>
      <c r="AM4" s="785"/>
      <c r="AN4" s="785"/>
      <c r="AO4" s="785"/>
      <c r="AP4" s="785"/>
      <c r="AQ4" s="785"/>
      <c r="AR4" s="785"/>
      <c r="AS4" s="785"/>
      <c r="AT4" s="785"/>
      <c r="AU4" s="785"/>
      <c r="AV4" s="785"/>
      <c r="AW4" s="785"/>
      <c r="AX4" s="785"/>
      <c r="AY4" s="785"/>
      <c r="AZ4" s="785"/>
      <c r="BA4" s="785"/>
      <c r="BB4" s="785"/>
      <c r="BC4" s="785"/>
      <c r="BD4" s="785"/>
      <c r="BE4" s="785"/>
      <c r="BF4" s="785"/>
      <c r="BG4" s="785"/>
      <c r="BH4" s="785"/>
      <c r="BI4" s="785"/>
      <c r="BJ4" s="785"/>
      <c r="BK4" s="788" t="s">
        <v>343</v>
      </c>
      <c r="BL4" s="789"/>
      <c r="BM4" s="789"/>
      <c r="BN4" s="789"/>
      <c r="BO4" s="789"/>
      <c r="BP4" s="789"/>
      <c r="BQ4" s="790"/>
      <c r="BR4" s="187"/>
    </row>
    <row r="5" spans="1:79" s="177" customFormat="1" ht="16.2" thickBot="1" x14ac:dyDescent="0.35">
      <c r="A5" s="780"/>
      <c r="B5" s="783"/>
      <c r="C5" s="786">
        <v>43101</v>
      </c>
      <c r="D5" s="787"/>
      <c r="E5" s="787"/>
      <c r="F5" s="787"/>
      <c r="G5" s="787"/>
      <c r="H5" s="786">
        <v>43132</v>
      </c>
      <c r="I5" s="787"/>
      <c r="J5" s="787"/>
      <c r="K5" s="787"/>
      <c r="L5" s="787"/>
      <c r="M5" s="786">
        <v>43160</v>
      </c>
      <c r="N5" s="787"/>
      <c r="O5" s="787"/>
      <c r="P5" s="787"/>
      <c r="Q5" s="787"/>
      <c r="R5" s="786">
        <v>43191</v>
      </c>
      <c r="S5" s="787"/>
      <c r="T5" s="787"/>
      <c r="U5" s="787"/>
      <c r="V5" s="787"/>
      <c r="W5" s="786">
        <v>43221</v>
      </c>
      <c r="X5" s="787"/>
      <c r="Y5" s="787"/>
      <c r="Z5" s="787"/>
      <c r="AA5" s="787"/>
      <c r="AB5" s="786">
        <v>43252</v>
      </c>
      <c r="AC5" s="787"/>
      <c r="AD5" s="787"/>
      <c r="AE5" s="787"/>
      <c r="AF5" s="787"/>
      <c r="AG5" s="786">
        <v>43282</v>
      </c>
      <c r="AH5" s="787"/>
      <c r="AI5" s="787"/>
      <c r="AJ5" s="787"/>
      <c r="AK5" s="787"/>
      <c r="AL5" s="786">
        <v>43313</v>
      </c>
      <c r="AM5" s="787"/>
      <c r="AN5" s="787"/>
      <c r="AO5" s="787"/>
      <c r="AP5" s="787"/>
      <c r="AQ5" s="786">
        <v>43344</v>
      </c>
      <c r="AR5" s="787"/>
      <c r="AS5" s="787"/>
      <c r="AT5" s="787"/>
      <c r="AU5" s="787"/>
      <c r="AV5" s="786">
        <v>43374</v>
      </c>
      <c r="AW5" s="787"/>
      <c r="AX5" s="787"/>
      <c r="AY5" s="787"/>
      <c r="AZ5" s="787"/>
      <c r="BA5" s="786">
        <v>43405</v>
      </c>
      <c r="BB5" s="787"/>
      <c r="BC5" s="787"/>
      <c r="BD5" s="787"/>
      <c r="BE5" s="787"/>
      <c r="BF5" s="786">
        <v>43435</v>
      </c>
      <c r="BG5" s="787"/>
      <c r="BH5" s="787"/>
      <c r="BI5" s="787"/>
      <c r="BJ5" s="787"/>
      <c r="BK5" s="791"/>
      <c r="BL5" s="792"/>
      <c r="BM5" s="792"/>
      <c r="BN5" s="792"/>
      <c r="BO5" s="792"/>
      <c r="BP5" s="792"/>
      <c r="BQ5" s="792"/>
      <c r="BR5" s="187"/>
      <c r="BS5" s="186">
        <v>7</v>
      </c>
      <c r="BT5" s="186">
        <v>7</v>
      </c>
      <c r="BU5" s="186">
        <v>10</v>
      </c>
      <c r="BV5" s="186"/>
    </row>
    <row r="6" spans="1:79" s="177" customFormat="1" ht="26.4" x14ac:dyDescent="0.3">
      <c r="A6" s="781"/>
      <c r="B6" s="784"/>
      <c r="C6" s="185" t="s">
        <v>333</v>
      </c>
      <c r="D6" s="185" t="s">
        <v>332</v>
      </c>
      <c r="E6" s="185" t="s">
        <v>331</v>
      </c>
      <c r="F6" s="185" t="s">
        <v>342</v>
      </c>
      <c r="G6" s="185" t="s">
        <v>341</v>
      </c>
      <c r="H6" s="185" t="s">
        <v>333</v>
      </c>
      <c r="I6" s="185" t="s">
        <v>332</v>
      </c>
      <c r="J6" s="185" t="s">
        <v>331</v>
      </c>
      <c r="K6" s="185" t="s">
        <v>342</v>
      </c>
      <c r="L6" s="185" t="s">
        <v>341</v>
      </c>
      <c r="M6" s="185" t="s">
        <v>333</v>
      </c>
      <c r="N6" s="185" t="s">
        <v>332</v>
      </c>
      <c r="O6" s="185" t="s">
        <v>331</v>
      </c>
      <c r="P6" s="185" t="s">
        <v>342</v>
      </c>
      <c r="Q6" s="185" t="s">
        <v>341</v>
      </c>
      <c r="R6" s="185" t="s">
        <v>333</v>
      </c>
      <c r="S6" s="185" t="s">
        <v>332</v>
      </c>
      <c r="T6" s="185" t="s">
        <v>331</v>
      </c>
      <c r="U6" s="185" t="s">
        <v>342</v>
      </c>
      <c r="V6" s="185" t="s">
        <v>341</v>
      </c>
      <c r="W6" s="185" t="s">
        <v>333</v>
      </c>
      <c r="X6" s="185" t="s">
        <v>332</v>
      </c>
      <c r="Y6" s="185" t="s">
        <v>331</v>
      </c>
      <c r="Z6" s="185" t="s">
        <v>342</v>
      </c>
      <c r="AA6" s="185" t="s">
        <v>341</v>
      </c>
      <c r="AB6" s="185" t="s">
        <v>333</v>
      </c>
      <c r="AC6" s="185" t="s">
        <v>332</v>
      </c>
      <c r="AD6" s="185" t="s">
        <v>331</v>
      </c>
      <c r="AE6" s="185" t="s">
        <v>342</v>
      </c>
      <c r="AF6" s="185" t="s">
        <v>341</v>
      </c>
      <c r="AG6" s="185" t="s">
        <v>333</v>
      </c>
      <c r="AH6" s="185" t="s">
        <v>332</v>
      </c>
      <c r="AI6" s="185" t="s">
        <v>331</v>
      </c>
      <c r="AJ6" s="185" t="s">
        <v>342</v>
      </c>
      <c r="AK6" s="185" t="s">
        <v>341</v>
      </c>
      <c r="AL6" s="185" t="s">
        <v>333</v>
      </c>
      <c r="AM6" s="185" t="s">
        <v>332</v>
      </c>
      <c r="AN6" s="185" t="s">
        <v>331</v>
      </c>
      <c r="AO6" s="185" t="s">
        <v>342</v>
      </c>
      <c r="AP6" s="185" t="s">
        <v>341</v>
      </c>
      <c r="AQ6" s="185" t="s">
        <v>333</v>
      </c>
      <c r="AR6" s="185" t="s">
        <v>332</v>
      </c>
      <c r="AS6" s="185" t="s">
        <v>331</v>
      </c>
      <c r="AT6" s="185" t="s">
        <v>342</v>
      </c>
      <c r="AU6" s="185" t="s">
        <v>341</v>
      </c>
      <c r="AV6" s="185" t="s">
        <v>333</v>
      </c>
      <c r="AW6" s="185" t="s">
        <v>332</v>
      </c>
      <c r="AX6" s="185" t="s">
        <v>331</v>
      </c>
      <c r="AY6" s="185" t="s">
        <v>342</v>
      </c>
      <c r="AZ6" s="185" t="s">
        <v>341</v>
      </c>
      <c r="BA6" s="185" t="s">
        <v>333</v>
      </c>
      <c r="BB6" s="185" t="s">
        <v>332</v>
      </c>
      <c r="BC6" s="185" t="s">
        <v>331</v>
      </c>
      <c r="BD6" s="185" t="s">
        <v>342</v>
      </c>
      <c r="BE6" s="185" t="s">
        <v>341</v>
      </c>
      <c r="BF6" s="185" t="s">
        <v>333</v>
      </c>
      <c r="BG6" s="185" t="s">
        <v>332</v>
      </c>
      <c r="BH6" s="185" t="s">
        <v>331</v>
      </c>
      <c r="BI6" s="185" t="s">
        <v>342</v>
      </c>
      <c r="BJ6" s="185" t="s">
        <v>341</v>
      </c>
      <c r="BK6" s="184" t="s">
        <v>340</v>
      </c>
      <c r="BL6" s="184" t="s">
        <v>339</v>
      </c>
      <c r="BM6" s="183" t="s">
        <v>338</v>
      </c>
      <c r="BN6" s="182" t="s">
        <v>337</v>
      </c>
      <c r="BO6" s="182" t="s">
        <v>336</v>
      </c>
      <c r="BP6" s="181" t="s">
        <v>335</v>
      </c>
      <c r="BQ6" s="180" t="s">
        <v>334</v>
      </c>
      <c r="BR6" s="179"/>
      <c r="BS6" s="178" t="s">
        <v>333</v>
      </c>
      <c r="BT6" s="178" t="s">
        <v>332</v>
      </c>
      <c r="BU6" s="178" t="s">
        <v>331</v>
      </c>
      <c r="BV6" s="178" t="s">
        <v>330</v>
      </c>
    </row>
    <row r="7" spans="1:79" ht="15.6" x14ac:dyDescent="0.3">
      <c r="A7" s="162">
        <v>7</v>
      </c>
      <c r="B7" s="161" t="s">
        <v>45</v>
      </c>
      <c r="C7" s="155">
        <v>0</v>
      </c>
      <c r="D7" s="155">
        <v>0</v>
      </c>
      <c r="E7" s="155">
        <v>0</v>
      </c>
      <c r="F7" s="155"/>
      <c r="G7" s="157">
        <f t="shared" ref="G7:G45" si="0">C7+D7+E7-F7</f>
        <v>0</v>
      </c>
      <c r="H7" s="155">
        <v>5</v>
      </c>
      <c r="I7" s="155">
        <v>0</v>
      </c>
      <c r="J7" s="155">
        <v>0</v>
      </c>
      <c r="K7" s="155"/>
      <c r="L7" s="157">
        <f t="shared" ref="L7:L45" si="1">H7+I7+J7-K7</f>
        <v>5</v>
      </c>
      <c r="M7" s="155">
        <v>1</v>
      </c>
      <c r="N7" s="155">
        <v>0</v>
      </c>
      <c r="O7" s="155">
        <v>0</v>
      </c>
      <c r="P7" s="155"/>
      <c r="Q7" s="157">
        <f t="shared" ref="Q7:Q45" si="2">M7+N7+O7-P7</f>
        <v>1</v>
      </c>
      <c r="R7" s="155">
        <v>2</v>
      </c>
      <c r="S7" s="155">
        <v>0</v>
      </c>
      <c r="T7" s="155">
        <v>0</v>
      </c>
      <c r="U7" s="155"/>
      <c r="V7" s="157">
        <f t="shared" ref="V7:V45" si="3">R7+S7+T7-U7</f>
        <v>2</v>
      </c>
      <c r="W7" s="155">
        <v>2</v>
      </c>
      <c r="X7" s="155">
        <v>0</v>
      </c>
      <c r="Y7" s="155">
        <v>0</v>
      </c>
      <c r="Z7" s="155"/>
      <c r="AA7" s="157">
        <f t="shared" ref="AA7:AA45" si="4">W7+X7+Y7-Z7</f>
        <v>2</v>
      </c>
      <c r="AB7" s="155">
        <v>0</v>
      </c>
      <c r="AC7" s="155">
        <v>0</v>
      </c>
      <c r="AD7" s="155">
        <v>0</v>
      </c>
      <c r="AE7" s="155"/>
      <c r="AF7" s="157">
        <f t="shared" ref="AF7:AF45" si="5">AB7+AC7+AD7-AE7</f>
        <v>0</v>
      </c>
      <c r="AG7" s="155"/>
      <c r="AH7" s="155"/>
      <c r="AI7" s="155"/>
      <c r="AJ7" s="155"/>
      <c r="AK7" s="157">
        <f t="shared" ref="AK7:AK45" si="6">AG7+AH7+AI7-AJ7</f>
        <v>0</v>
      </c>
      <c r="AL7" s="155"/>
      <c r="AM7" s="155"/>
      <c r="AN7" s="155"/>
      <c r="AO7" s="155"/>
      <c r="AP7" s="157">
        <f t="shared" ref="AP7:AP45" si="7">SUM(AL7:AO7)</f>
        <v>0</v>
      </c>
      <c r="AQ7" s="155"/>
      <c r="AR7" s="155">
        <v>1</v>
      </c>
      <c r="AS7" s="155"/>
      <c r="AT7" s="155"/>
      <c r="AU7" s="157">
        <f t="shared" ref="AU7:AU49" si="8">AQ7+AR7+AS7</f>
        <v>1</v>
      </c>
      <c r="AV7" s="155"/>
      <c r="AW7" s="155"/>
      <c r="AX7" s="155"/>
      <c r="AY7" s="155"/>
      <c r="AZ7" s="157">
        <f t="shared" ref="AZ7:AZ49" si="9">AV7+AW7+AX7</f>
        <v>0</v>
      </c>
      <c r="BA7" s="155"/>
      <c r="BB7" s="155"/>
      <c r="BC7" s="155"/>
      <c r="BD7" s="155"/>
      <c r="BE7" s="157">
        <f t="shared" ref="BE7:BE49" si="10">BA7+BB7+BC7-BD7</f>
        <v>0</v>
      </c>
      <c r="BF7" s="155"/>
      <c r="BG7" s="155"/>
      <c r="BH7" s="155"/>
      <c r="BI7" s="155"/>
      <c r="BJ7" s="157">
        <f t="shared" ref="BJ7:BJ49" si="11">BF7+BG7+BH7-BI7</f>
        <v>0</v>
      </c>
      <c r="BK7" s="156">
        <v>14</v>
      </c>
      <c r="BL7" s="155">
        <f t="shared" ref="BL7:BL49" si="12">(C7+H7+M7+R7+W7+AB7+AG7+AL7+AQ7+AV7+BA7+BF7)+(D7+I7+N7+S7+X7+AC7+AH7+AM7+AR7+AW7+BB7+BG7)</f>
        <v>11</v>
      </c>
      <c r="BM7" s="154">
        <f t="shared" ref="BM7:BM49" si="13">+BK7-BL7</f>
        <v>3</v>
      </c>
      <c r="BN7" s="173">
        <v>10</v>
      </c>
      <c r="BO7" s="155">
        <f t="shared" ref="BO7:BO49" si="14">+(E7+J7+O7+T7+Y7+AD7+AI7+AN7+AS7+AX7+BC7+BH7)</f>
        <v>0</v>
      </c>
      <c r="BP7" s="154">
        <f t="shared" ref="BP7:BP49" si="15">+BN7-BO7</f>
        <v>10</v>
      </c>
      <c r="BQ7" s="153">
        <f t="shared" ref="BQ7:BQ49" si="16">(F7+K7+P7+U7+Z7+AE7+AJ7+AO7+AT7+AY7+BD7+BI7)</f>
        <v>0</v>
      </c>
      <c r="BR7" s="153"/>
      <c r="BS7" s="152">
        <f t="shared" ref="BS7:BS49" si="17">C7+H7+M7+R7+W7+AB7+AG7+AL7+AQ7+AV7+BA7+BF7</f>
        <v>10</v>
      </c>
      <c r="BT7" s="152">
        <f t="shared" ref="BT7:BT49" si="18">D7+I7+N7+S7+X7+AC7+AH7+AM7+AR7+AW7+BB7+BG7</f>
        <v>1</v>
      </c>
      <c r="BU7" s="152">
        <f t="shared" ref="BU7:BU49" si="19">E7+J7+O7+T7+Y7+AD7+AI7+AN7+AS7+AX7+BC7+BH7</f>
        <v>0</v>
      </c>
      <c r="BV7" s="152">
        <f t="shared" ref="BV7:BV49" si="20">F7+K7+P7+U7+Z7+AE7+AJ7+AO7+AT7+AY7+BD7+BI7</f>
        <v>0</v>
      </c>
      <c r="BX7" s="151">
        <f>(C7+H7+M7+R7+W7+AB7+AG7+AL7+AQ7+AV7+BA7+BF7)</f>
        <v>10</v>
      </c>
      <c r="BY7" s="151">
        <f>(D7+I7+N7+S7+X7+AC7+AH7+AM7+AR7+AW7+BB7+BG7)</f>
        <v>1</v>
      </c>
      <c r="BZ7" s="151">
        <f>(E7+J7+O7+T7+Y7+AD7+AI7+AN7+AS7+AX7+BC7+BH7)</f>
        <v>0</v>
      </c>
      <c r="CA7" s="151"/>
    </row>
    <row r="8" spans="1:79" ht="15.6" x14ac:dyDescent="0.3">
      <c r="A8" s="162">
        <v>8</v>
      </c>
      <c r="B8" s="161" t="s">
        <v>75</v>
      </c>
      <c r="C8" s="155">
        <v>1</v>
      </c>
      <c r="D8" s="155">
        <v>0</v>
      </c>
      <c r="E8" s="155">
        <v>0</v>
      </c>
      <c r="F8" s="155"/>
      <c r="G8" s="157">
        <f t="shared" si="0"/>
        <v>1</v>
      </c>
      <c r="H8" s="155">
        <v>1</v>
      </c>
      <c r="I8" s="155">
        <v>0</v>
      </c>
      <c r="J8" s="155">
        <v>0</v>
      </c>
      <c r="K8" s="155"/>
      <c r="L8" s="157">
        <f t="shared" si="1"/>
        <v>1</v>
      </c>
      <c r="M8" s="155">
        <v>0</v>
      </c>
      <c r="N8" s="155">
        <v>1</v>
      </c>
      <c r="O8" s="155">
        <v>0</v>
      </c>
      <c r="P8" s="155"/>
      <c r="Q8" s="157">
        <f t="shared" si="2"/>
        <v>1</v>
      </c>
      <c r="R8" s="155">
        <v>1</v>
      </c>
      <c r="S8" s="155">
        <v>0</v>
      </c>
      <c r="T8" s="155">
        <v>0</v>
      </c>
      <c r="U8" s="155"/>
      <c r="V8" s="157">
        <f t="shared" si="3"/>
        <v>1</v>
      </c>
      <c r="W8" s="155">
        <v>0</v>
      </c>
      <c r="X8" s="155">
        <v>1</v>
      </c>
      <c r="Y8" s="155">
        <v>0</v>
      </c>
      <c r="Z8" s="155"/>
      <c r="AA8" s="157">
        <f t="shared" si="4"/>
        <v>1</v>
      </c>
      <c r="AB8" s="155"/>
      <c r="AC8" s="155"/>
      <c r="AD8" s="155"/>
      <c r="AE8" s="155"/>
      <c r="AF8" s="157">
        <f t="shared" si="5"/>
        <v>0</v>
      </c>
      <c r="AG8" s="155">
        <v>2</v>
      </c>
      <c r="AH8" s="155"/>
      <c r="AI8" s="155"/>
      <c r="AJ8" s="155"/>
      <c r="AK8" s="157">
        <f t="shared" si="6"/>
        <v>2</v>
      </c>
      <c r="AL8" s="155">
        <v>1</v>
      </c>
      <c r="AM8" s="155"/>
      <c r="AN8" s="155"/>
      <c r="AO8" s="155"/>
      <c r="AP8" s="157">
        <f t="shared" si="7"/>
        <v>1</v>
      </c>
      <c r="AQ8" s="155"/>
      <c r="AR8" s="155">
        <v>1</v>
      </c>
      <c r="AS8" s="155"/>
      <c r="AT8" s="155"/>
      <c r="AU8" s="157">
        <f t="shared" si="8"/>
        <v>1</v>
      </c>
      <c r="AV8" s="155"/>
      <c r="AW8" s="155"/>
      <c r="AX8" s="155"/>
      <c r="AY8" s="155"/>
      <c r="AZ8" s="157">
        <f t="shared" si="9"/>
        <v>0</v>
      </c>
      <c r="BA8" s="155"/>
      <c r="BB8" s="155"/>
      <c r="BC8" s="155"/>
      <c r="BD8" s="155"/>
      <c r="BE8" s="157">
        <f t="shared" si="10"/>
        <v>0</v>
      </c>
      <c r="BF8" s="155"/>
      <c r="BG8" s="155"/>
      <c r="BH8" s="155"/>
      <c r="BI8" s="155"/>
      <c r="BJ8" s="157">
        <f t="shared" si="11"/>
        <v>0</v>
      </c>
      <c r="BK8" s="156">
        <v>14</v>
      </c>
      <c r="BL8" s="155">
        <f t="shared" si="12"/>
        <v>9</v>
      </c>
      <c r="BM8" s="154">
        <f t="shared" si="13"/>
        <v>5</v>
      </c>
      <c r="BN8" s="173">
        <v>10</v>
      </c>
      <c r="BO8" s="155">
        <f t="shared" si="14"/>
        <v>0</v>
      </c>
      <c r="BP8" s="154">
        <f t="shared" si="15"/>
        <v>10</v>
      </c>
      <c r="BQ8" s="153">
        <f t="shared" si="16"/>
        <v>0</v>
      </c>
      <c r="BR8" s="153"/>
      <c r="BS8" s="152">
        <f t="shared" si="17"/>
        <v>6</v>
      </c>
      <c r="BT8" s="152">
        <f t="shared" si="18"/>
        <v>3</v>
      </c>
      <c r="BU8" s="152">
        <f t="shared" si="19"/>
        <v>0</v>
      </c>
      <c r="BV8" s="152">
        <f t="shared" si="20"/>
        <v>0</v>
      </c>
      <c r="BX8" s="151"/>
    </row>
    <row r="9" spans="1:79" ht="15.6" x14ac:dyDescent="0.3">
      <c r="A9" s="162">
        <v>18</v>
      </c>
      <c r="B9" s="161" t="s">
        <v>46</v>
      </c>
      <c r="C9" s="155">
        <v>0</v>
      </c>
      <c r="D9" s="155">
        <v>0</v>
      </c>
      <c r="E9" s="155">
        <v>0</v>
      </c>
      <c r="F9" s="155"/>
      <c r="G9" s="157">
        <f t="shared" si="0"/>
        <v>0</v>
      </c>
      <c r="H9" s="155">
        <v>2</v>
      </c>
      <c r="I9" s="155">
        <v>0</v>
      </c>
      <c r="J9" s="155">
        <v>0</v>
      </c>
      <c r="K9" s="155"/>
      <c r="L9" s="157">
        <f t="shared" si="1"/>
        <v>2</v>
      </c>
      <c r="M9" s="155">
        <v>1</v>
      </c>
      <c r="N9" s="155">
        <v>0</v>
      </c>
      <c r="O9" s="155">
        <v>0</v>
      </c>
      <c r="P9" s="155"/>
      <c r="Q9" s="157">
        <f t="shared" si="2"/>
        <v>1</v>
      </c>
      <c r="R9" s="155">
        <v>0</v>
      </c>
      <c r="S9" s="155">
        <v>0</v>
      </c>
      <c r="T9" s="155">
        <v>6</v>
      </c>
      <c r="U9" s="155"/>
      <c r="V9" s="157">
        <f t="shared" si="3"/>
        <v>6</v>
      </c>
      <c r="W9" s="155">
        <v>0</v>
      </c>
      <c r="X9" s="155">
        <v>0</v>
      </c>
      <c r="Y9" s="155">
        <v>2</v>
      </c>
      <c r="Z9" s="155"/>
      <c r="AA9" s="157">
        <f t="shared" si="4"/>
        <v>2</v>
      </c>
      <c r="AB9" s="155"/>
      <c r="AC9" s="155"/>
      <c r="AD9" s="155"/>
      <c r="AE9" s="155"/>
      <c r="AF9" s="157">
        <f t="shared" si="5"/>
        <v>0</v>
      </c>
      <c r="AG9" s="155">
        <v>1</v>
      </c>
      <c r="AH9" s="155"/>
      <c r="AI9" s="155"/>
      <c r="AJ9" s="155"/>
      <c r="AK9" s="157">
        <f t="shared" si="6"/>
        <v>1</v>
      </c>
      <c r="AL9" s="155">
        <v>0</v>
      </c>
      <c r="AM9" s="155"/>
      <c r="AN9" s="155"/>
      <c r="AO9" s="155"/>
      <c r="AP9" s="157">
        <f t="shared" si="7"/>
        <v>0</v>
      </c>
      <c r="AQ9" s="155">
        <v>1</v>
      </c>
      <c r="AR9" s="155"/>
      <c r="AS9" s="155"/>
      <c r="AT9" s="155"/>
      <c r="AU9" s="157">
        <f t="shared" si="8"/>
        <v>1</v>
      </c>
      <c r="AV9" s="155"/>
      <c r="AW9" s="155"/>
      <c r="AX9" s="155"/>
      <c r="AY9" s="155"/>
      <c r="AZ9" s="157">
        <f t="shared" si="9"/>
        <v>0</v>
      </c>
      <c r="BA9" s="155"/>
      <c r="BB9" s="155"/>
      <c r="BC9" s="155"/>
      <c r="BD9" s="155"/>
      <c r="BE9" s="157">
        <f t="shared" si="10"/>
        <v>0</v>
      </c>
      <c r="BF9" s="155"/>
      <c r="BG9" s="155"/>
      <c r="BH9" s="155"/>
      <c r="BI9" s="155"/>
      <c r="BJ9" s="157">
        <f t="shared" si="11"/>
        <v>0</v>
      </c>
      <c r="BK9" s="156">
        <v>14</v>
      </c>
      <c r="BL9" s="155">
        <f t="shared" si="12"/>
        <v>5</v>
      </c>
      <c r="BM9" s="154">
        <f t="shared" si="13"/>
        <v>9</v>
      </c>
      <c r="BN9" s="173">
        <v>10</v>
      </c>
      <c r="BO9" s="155">
        <f t="shared" si="14"/>
        <v>8</v>
      </c>
      <c r="BP9" s="154">
        <f t="shared" si="15"/>
        <v>2</v>
      </c>
      <c r="BQ9" s="153">
        <f t="shared" si="16"/>
        <v>0</v>
      </c>
      <c r="BR9" s="153"/>
      <c r="BS9" s="152">
        <f t="shared" si="17"/>
        <v>5</v>
      </c>
      <c r="BT9" s="152">
        <f t="shared" si="18"/>
        <v>0</v>
      </c>
      <c r="BU9" s="152">
        <f t="shared" si="19"/>
        <v>8</v>
      </c>
      <c r="BV9" s="152">
        <f t="shared" si="20"/>
        <v>0</v>
      </c>
      <c r="BX9" s="151"/>
    </row>
    <row r="10" spans="1:79" ht="15.6" x14ac:dyDescent="0.3">
      <c r="A10" s="162">
        <v>26</v>
      </c>
      <c r="B10" s="161" t="s">
        <v>44</v>
      </c>
      <c r="C10" s="155">
        <v>0</v>
      </c>
      <c r="D10" s="155">
        <v>0</v>
      </c>
      <c r="E10" s="155">
        <v>0</v>
      </c>
      <c r="F10" s="155"/>
      <c r="G10" s="157">
        <f t="shared" si="0"/>
        <v>0</v>
      </c>
      <c r="H10" s="155">
        <v>0</v>
      </c>
      <c r="I10" s="155">
        <v>0</v>
      </c>
      <c r="J10" s="155">
        <v>0</v>
      </c>
      <c r="K10" s="155"/>
      <c r="L10" s="157">
        <f t="shared" si="1"/>
        <v>0</v>
      </c>
      <c r="M10" s="155">
        <v>4</v>
      </c>
      <c r="N10" s="155">
        <v>0</v>
      </c>
      <c r="O10" s="155">
        <v>0</v>
      </c>
      <c r="P10" s="155"/>
      <c r="Q10" s="157">
        <f t="shared" si="2"/>
        <v>4</v>
      </c>
      <c r="R10" s="155">
        <v>2</v>
      </c>
      <c r="S10" s="155">
        <v>0</v>
      </c>
      <c r="T10" s="155">
        <v>0</v>
      </c>
      <c r="U10" s="155"/>
      <c r="V10" s="157">
        <f t="shared" si="3"/>
        <v>2</v>
      </c>
      <c r="W10" s="155">
        <v>1</v>
      </c>
      <c r="X10" s="155">
        <v>0</v>
      </c>
      <c r="Y10" s="155">
        <v>0</v>
      </c>
      <c r="Z10" s="155"/>
      <c r="AA10" s="157">
        <f t="shared" si="4"/>
        <v>1</v>
      </c>
      <c r="AB10" s="155">
        <v>1</v>
      </c>
      <c r="AC10" s="155"/>
      <c r="AD10" s="155"/>
      <c r="AE10" s="155"/>
      <c r="AF10" s="157">
        <f t="shared" si="5"/>
        <v>1</v>
      </c>
      <c r="AG10" s="155"/>
      <c r="AH10" s="155"/>
      <c r="AI10" s="155"/>
      <c r="AJ10" s="155"/>
      <c r="AK10" s="157">
        <f t="shared" si="6"/>
        <v>0</v>
      </c>
      <c r="AL10" s="155"/>
      <c r="AM10" s="155"/>
      <c r="AN10" s="176">
        <v>9</v>
      </c>
      <c r="AO10" s="155"/>
      <c r="AP10" s="157">
        <f t="shared" si="7"/>
        <v>9</v>
      </c>
      <c r="AQ10" s="155">
        <v>6</v>
      </c>
      <c r="AR10" s="155"/>
      <c r="AS10" s="155"/>
      <c r="AT10" s="155"/>
      <c r="AU10" s="157">
        <f t="shared" si="8"/>
        <v>6</v>
      </c>
      <c r="AV10" s="155"/>
      <c r="AW10" s="155"/>
      <c r="AX10" s="155"/>
      <c r="AY10" s="155"/>
      <c r="AZ10" s="157">
        <f t="shared" si="9"/>
        <v>0</v>
      </c>
      <c r="BA10" s="155"/>
      <c r="BB10" s="155"/>
      <c r="BC10" s="155"/>
      <c r="BD10" s="155"/>
      <c r="BE10" s="157">
        <f t="shared" si="10"/>
        <v>0</v>
      </c>
      <c r="BF10" s="155"/>
      <c r="BG10" s="155"/>
      <c r="BH10" s="155"/>
      <c r="BI10" s="155"/>
      <c r="BJ10" s="157">
        <f t="shared" si="11"/>
        <v>0</v>
      </c>
      <c r="BK10" s="156">
        <v>14</v>
      </c>
      <c r="BL10" s="155">
        <f t="shared" si="12"/>
        <v>14</v>
      </c>
      <c r="BM10" s="154">
        <f t="shared" si="13"/>
        <v>0</v>
      </c>
      <c r="BN10" s="173">
        <v>10</v>
      </c>
      <c r="BO10" s="155">
        <f t="shared" si="14"/>
        <v>9</v>
      </c>
      <c r="BP10" s="154">
        <f t="shared" si="15"/>
        <v>1</v>
      </c>
      <c r="BQ10" s="153">
        <f t="shared" si="16"/>
        <v>0</v>
      </c>
      <c r="BR10" s="153"/>
      <c r="BS10" s="152">
        <f t="shared" si="17"/>
        <v>14</v>
      </c>
      <c r="BT10" s="152">
        <f t="shared" si="18"/>
        <v>0</v>
      </c>
      <c r="BU10" s="152">
        <f t="shared" si="19"/>
        <v>9</v>
      </c>
      <c r="BV10" s="152">
        <f t="shared" si="20"/>
        <v>0</v>
      </c>
      <c r="BX10" s="151"/>
    </row>
    <row r="11" spans="1:79" ht="15.6" x14ac:dyDescent="0.3">
      <c r="A11" s="162">
        <v>33</v>
      </c>
      <c r="B11" s="161" t="s">
        <v>41</v>
      </c>
      <c r="C11" s="155">
        <v>1</v>
      </c>
      <c r="D11" s="155">
        <v>0</v>
      </c>
      <c r="E11" s="155">
        <v>0</v>
      </c>
      <c r="F11" s="155"/>
      <c r="G11" s="157">
        <f t="shared" si="0"/>
        <v>1</v>
      </c>
      <c r="H11" s="155">
        <v>2</v>
      </c>
      <c r="I11" s="155">
        <v>0</v>
      </c>
      <c r="J11" s="155">
        <v>0</v>
      </c>
      <c r="K11" s="155"/>
      <c r="L11" s="157">
        <f t="shared" si="1"/>
        <v>2</v>
      </c>
      <c r="M11" s="155">
        <v>2</v>
      </c>
      <c r="N11" s="155">
        <v>0</v>
      </c>
      <c r="O11" s="155">
        <v>0</v>
      </c>
      <c r="P11" s="155"/>
      <c r="Q11" s="157">
        <f t="shared" si="2"/>
        <v>2</v>
      </c>
      <c r="R11" s="155">
        <v>0</v>
      </c>
      <c r="S11" s="155">
        <v>0</v>
      </c>
      <c r="T11" s="155">
        <v>0</v>
      </c>
      <c r="U11" s="155"/>
      <c r="V11" s="157">
        <f t="shared" si="3"/>
        <v>0</v>
      </c>
      <c r="W11" s="155">
        <v>1</v>
      </c>
      <c r="X11" s="155">
        <v>2</v>
      </c>
      <c r="Y11" s="155">
        <v>0</v>
      </c>
      <c r="Z11" s="155"/>
      <c r="AA11" s="157">
        <f t="shared" si="4"/>
        <v>3</v>
      </c>
      <c r="AB11" s="155">
        <v>1</v>
      </c>
      <c r="AC11" s="155">
        <v>2</v>
      </c>
      <c r="AD11" s="155">
        <v>0</v>
      </c>
      <c r="AE11" s="155"/>
      <c r="AF11" s="157">
        <f t="shared" si="5"/>
        <v>3</v>
      </c>
      <c r="AG11" s="155">
        <v>0</v>
      </c>
      <c r="AH11" s="155"/>
      <c r="AI11" s="155">
        <v>2</v>
      </c>
      <c r="AJ11" s="155"/>
      <c r="AK11" s="157">
        <f t="shared" si="6"/>
        <v>2</v>
      </c>
      <c r="AL11" s="155">
        <v>0</v>
      </c>
      <c r="AM11" s="155"/>
      <c r="AN11" s="155">
        <v>2</v>
      </c>
      <c r="AO11" s="155"/>
      <c r="AP11" s="157">
        <f t="shared" si="7"/>
        <v>2</v>
      </c>
      <c r="AQ11" s="155"/>
      <c r="AR11" s="155">
        <v>1</v>
      </c>
      <c r="AS11" s="155"/>
      <c r="AT11" s="155"/>
      <c r="AU11" s="157">
        <f t="shared" si="8"/>
        <v>1</v>
      </c>
      <c r="AV11" s="155"/>
      <c r="AW11" s="155"/>
      <c r="AX11" s="155"/>
      <c r="AY11" s="155"/>
      <c r="AZ11" s="157">
        <f t="shared" si="9"/>
        <v>0</v>
      </c>
      <c r="BA11" s="155"/>
      <c r="BB11" s="155"/>
      <c r="BC11" s="155"/>
      <c r="BD11" s="155"/>
      <c r="BE11" s="157">
        <f t="shared" si="10"/>
        <v>0</v>
      </c>
      <c r="BF11" s="155"/>
      <c r="BG11" s="155"/>
      <c r="BH11" s="155"/>
      <c r="BI11" s="155"/>
      <c r="BJ11" s="157">
        <f t="shared" si="11"/>
        <v>0</v>
      </c>
      <c r="BK11" s="156">
        <v>14</v>
      </c>
      <c r="BL11" s="155">
        <f t="shared" si="12"/>
        <v>12</v>
      </c>
      <c r="BM11" s="154">
        <f t="shared" si="13"/>
        <v>2</v>
      </c>
      <c r="BN11" s="173">
        <v>10</v>
      </c>
      <c r="BO11" s="155">
        <f t="shared" si="14"/>
        <v>4</v>
      </c>
      <c r="BP11" s="154">
        <f t="shared" si="15"/>
        <v>6</v>
      </c>
      <c r="BQ11" s="153">
        <f t="shared" si="16"/>
        <v>0</v>
      </c>
      <c r="BR11" s="153"/>
      <c r="BS11" s="152">
        <f t="shared" si="17"/>
        <v>7</v>
      </c>
      <c r="BT11" s="152">
        <f t="shared" si="18"/>
        <v>5</v>
      </c>
      <c r="BU11" s="152">
        <f t="shared" si="19"/>
        <v>4</v>
      </c>
      <c r="BV11" s="152">
        <f t="shared" si="20"/>
        <v>0</v>
      </c>
      <c r="BX11" s="151"/>
    </row>
    <row r="12" spans="1:79" ht="15.6" x14ac:dyDescent="0.3">
      <c r="A12" s="162">
        <v>37</v>
      </c>
      <c r="B12" s="161" t="s">
        <v>329</v>
      </c>
      <c r="C12" s="155">
        <v>3</v>
      </c>
      <c r="D12" s="155">
        <v>0</v>
      </c>
      <c r="E12" s="155">
        <v>0</v>
      </c>
      <c r="F12" s="155"/>
      <c r="G12" s="157">
        <f t="shared" si="0"/>
        <v>3</v>
      </c>
      <c r="H12" s="155">
        <v>1</v>
      </c>
      <c r="I12" s="155">
        <v>0</v>
      </c>
      <c r="J12" s="155">
        <v>0</v>
      </c>
      <c r="K12" s="155"/>
      <c r="L12" s="157">
        <f t="shared" si="1"/>
        <v>1</v>
      </c>
      <c r="M12" s="155">
        <v>1</v>
      </c>
      <c r="N12" s="155">
        <v>0</v>
      </c>
      <c r="O12" s="155">
        <v>0</v>
      </c>
      <c r="P12" s="155"/>
      <c r="Q12" s="157">
        <f t="shared" si="2"/>
        <v>1</v>
      </c>
      <c r="R12" s="155">
        <v>2</v>
      </c>
      <c r="S12" s="155">
        <v>0</v>
      </c>
      <c r="T12" s="155">
        <v>0</v>
      </c>
      <c r="U12" s="155"/>
      <c r="V12" s="157">
        <f t="shared" si="3"/>
        <v>2</v>
      </c>
      <c r="W12" s="155">
        <v>0</v>
      </c>
      <c r="X12" s="155">
        <v>0</v>
      </c>
      <c r="Y12" s="155">
        <v>5</v>
      </c>
      <c r="Z12" s="155"/>
      <c r="AA12" s="157">
        <f t="shared" si="4"/>
        <v>5</v>
      </c>
      <c r="AB12" s="155">
        <v>1</v>
      </c>
      <c r="AC12" s="155"/>
      <c r="AD12" s="155"/>
      <c r="AE12" s="155"/>
      <c r="AF12" s="157">
        <f t="shared" si="5"/>
        <v>1</v>
      </c>
      <c r="AG12" s="155">
        <v>2</v>
      </c>
      <c r="AH12" s="155"/>
      <c r="AI12" s="155"/>
      <c r="AJ12" s="155"/>
      <c r="AK12" s="157">
        <f t="shared" si="6"/>
        <v>2</v>
      </c>
      <c r="AL12" s="155">
        <v>0</v>
      </c>
      <c r="AM12" s="155"/>
      <c r="AN12" s="155"/>
      <c r="AO12" s="155"/>
      <c r="AP12" s="157">
        <f t="shared" si="7"/>
        <v>0</v>
      </c>
      <c r="AQ12" s="155">
        <v>3</v>
      </c>
      <c r="AR12" s="155"/>
      <c r="AS12" s="155"/>
      <c r="AT12" s="155"/>
      <c r="AU12" s="157">
        <f t="shared" si="8"/>
        <v>3</v>
      </c>
      <c r="AV12" s="155"/>
      <c r="AW12" s="155"/>
      <c r="AX12" s="155"/>
      <c r="AY12" s="155"/>
      <c r="AZ12" s="157">
        <f t="shared" si="9"/>
        <v>0</v>
      </c>
      <c r="BA12" s="155"/>
      <c r="BB12" s="155"/>
      <c r="BC12" s="155"/>
      <c r="BD12" s="155"/>
      <c r="BE12" s="157">
        <f t="shared" si="10"/>
        <v>0</v>
      </c>
      <c r="BF12" s="155"/>
      <c r="BG12" s="155"/>
      <c r="BH12" s="155"/>
      <c r="BI12" s="155"/>
      <c r="BJ12" s="157">
        <f t="shared" si="11"/>
        <v>0</v>
      </c>
      <c r="BK12" s="156">
        <v>14</v>
      </c>
      <c r="BL12" s="155">
        <f t="shared" si="12"/>
        <v>13</v>
      </c>
      <c r="BM12" s="154">
        <f t="shared" si="13"/>
        <v>1</v>
      </c>
      <c r="BN12" s="173">
        <v>10</v>
      </c>
      <c r="BO12" s="155">
        <f t="shared" si="14"/>
        <v>5</v>
      </c>
      <c r="BP12" s="154">
        <f t="shared" si="15"/>
        <v>5</v>
      </c>
      <c r="BQ12" s="153">
        <f t="shared" si="16"/>
        <v>0</v>
      </c>
      <c r="BR12" s="153"/>
      <c r="BS12" s="152">
        <f t="shared" si="17"/>
        <v>13</v>
      </c>
      <c r="BT12" s="152">
        <f t="shared" si="18"/>
        <v>0</v>
      </c>
      <c r="BU12" s="152">
        <f t="shared" si="19"/>
        <v>5</v>
      </c>
      <c r="BV12" s="152">
        <f t="shared" si="20"/>
        <v>0</v>
      </c>
      <c r="BX12" s="151"/>
    </row>
    <row r="13" spans="1:79" ht="15.6" x14ac:dyDescent="0.3">
      <c r="A13" s="162">
        <v>41</v>
      </c>
      <c r="B13" s="161" t="s">
        <v>54</v>
      </c>
      <c r="C13" s="155">
        <v>1</v>
      </c>
      <c r="D13" s="155">
        <v>0</v>
      </c>
      <c r="E13" s="155">
        <v>0</v>
      </c>
      <c r="F13" s="155"/>
      <c r="G13" s="157">
        <f t="shared" si="0"/>
        <v>1</v>
      </c>
      <c r="H13" s="155">
        <v>2</v>
      </c>
      <c r="I13" s="155">
        <v>0</v>
      </c>
      <c r="J13" s="155">
        <v>0</v>
      </c>
      <c r="K13" s="155"/>
      <c r="L13" s="157">
        <f t="shared" si="1"/>
        <v>2</v>
      </c>
      <c r="M13" s="155">
        <v>1</v>
      </c>
      <c r="N13" s="155">
        <v>0</v>
      </c>
      <c r="O13" s="155">
        <v>0</v>
      </c>
      <c r="P13" s="155"/>
      <c r="Q13" s="157">
        <f t="shared" si="2"/>
        <v>1</v>
      </c>
      <c r="R13" s="155">
        <v>0</v>
      </c>
      <c r="S13" s="155">
        <v>1</v>
      </c>
      <c r="T13" s="155">
        <v>0</v>
      </c>
      <c r="U13" s="155"/>
      <c r="V13" s="157">
        <f t="shared" si="3"/>
        <v>1</v>
      </c>
      <c r="W13" s="155">
        <v>0</v>
      </c>
      <c r="X13" s="155">
        <v>0</v>
      </c>
      <c r="Y13" s="155">
        <v>0</v>
      </c>
      <c r="Z13" s="155"/>
      <c r="AA13" s="157">
        <f t="shared" si="4"/>
        <v>0</v>
      </c>
      <c r="AB13" s="155">
        <v>3</v>
      </c>
      <c r="AC13" s="155"/>
      <c r="AD13" s="155"/>
      <c r="AE13" s="155"/>
      <c r="AF13" s="157">
        <f t="shared" si="5"/>
        <v>3</v>
      </c>
      <c r="AG13" s="155">
        <v>3</v>
      </c>
      <c r="AH13" s="155"/>
      <c r="AI13" s="155"/>
      <c r="AJ13" s="155"/>
      <c r="AK13" s="157">
        <f t="shared" si="6"/>
        <v>3</v>
      </c>
      <c r="AL13" s="155">
        <v>2</v>
      </c>
      <c r="AM13" s="155"/>
      <c r="AN13" s="155"/>
      <c r="AO13" s="155"/>
      <c r="AP13" s="157">
        <f t="shared" si="7"/>
        <v>2</v>
      </c>
      <c r="AQ13" s="155"/>
      <c r="AR13" s="155">
        <v>1.5</v>
      </c>
      <c r="AS13" s="155"/>
      <c r="AT13" s="155"/>
      <c r="AU13" s="157">
        <f t="shared" si="8"/>
        <v>1.5</v>
      </c>
      <c r="AV13" s="155"/>
      <c r="AW13" s="155"/>
      <c r="AX13" s="155"/>
      <c r="AY13" s="155"/>
      <c r="AZ13" s="157">
        <f t="shared" si="9"/>
        <v>0</v>
      </c>
      <c r="BA13" s="155"/>
      <c r="BB13" s="155"/>
      <c r="BC13" s="155"/>
      <c r="BD13" s="155"/>
      <c r="BE13" s="157">
        <f t="shared" si="10"/>
        <v>0</v>
      </c>
      <c r="BF13" s="155"/>
      <c r="BG13" s="155"/>
      <c r="BH13" s="155"/>
      <c r="BI13" s="155"/>
      <c r="BJ13" s="157">
        <f t="shared" si="11"/>
        <v>0</v>
      </c>
      <c r="BK13" s="156">
        <v>14</v>
      </c>
      <c r="BL13" s="155">
        <f t="shared" si="12"/>
        <v>14.5</v>
      </c>
      <c r="BM13" s="154">
        <f t="shared" si="13"/>
        <v>-0.5</v>
      </c>
      <c r="BN13" s="173">
        <v>10</v>
      </c>
      <c r="BO13" s="155">
        <f t="shared" si="14"/>
        <v>0</v>
      </c>
      <c r="BP13" s="154">
        <f t="shared" si="15"/>
        <v>10</v>
      </c>
      <c r="BQ13" s="153">
        <f t="shared" si="16"/>
        <v>0</v>
      </c>
      <c r="BR13" s="153"/>
      <c r="BS13" s="152">
        <f t="shared" si="17"/>
        <v>12</v>
      </c>
      <c r="BT13" s="152">
        <f t="shared" si="18"/>
        <v>2.5</v>
      </c>
      <c r="BU13" s="152">
        <f t="shared" si="19"/>
        <v>0</v>
      </c>
      <c r="BV13" s="152">
        <f t="shared" si="20"/>
        <v>0</v>
      </c>
      <c r="BX13" s="151"/>
    </row>
    <row r="14" spans="1:79" ht="15.6" x14ac:dyDescent="0.3">
      <c r="A14" s="162">
        <v>44</v>
      </c>
      <c r="B14" s="161" t="s">
        <v>31</v>
      </c>
      <c r="C14" s="155">
        <v>3</v>
      </c>
      <c r="D14" s="155">
        <v>0</v>
      </c>
      <c r="E14" s="155">
        <v>0</v>
      </c>
      <c r="F14" s="155"/>
      <c r="G14" s="157">
        <f t="shared" si="0"/>
        <v>3</v>
      </c>
      <c r="H14" s="155">
        <v>1</v>
      </c>
      <c r="I14" s="155">
        <v>0</v>
      </c>
      <c r="J14" s="155">
        <v>0</v>
      </c>
      <c r="K14" s="155"/>
      <c r="L14" s="157">
        <f t="shared" si="1"/>
        <v>1</v>
      </c>
      <c r="M14" s="155">
        <v>1</v>
      </c>
      <c r="N14" s="155">
        <v>0</v>
      </c>
      <c r="O14" s="155">
        <v>0</v>
      </c>
      <c r="P14" s="155"/>
      <c r="Q14" s="157">
        <f t="shared" si="2"/>
        <v>1</v>
      </c>
      <c r="R14" s="155">
        <v>0</v>
      </c>
      <c r="S14" s="155">
        <v>0</v>
      </c>
      <c r="T14" s="155">
        <v>0</v>
      </c>
      <c r="U14" s="155"/>
      <c r="V14" s="157">
        <f t="shared" si="3"/>
        <v>0</v>
      </c>
      <c r="W14" s="155">
        <v>1</v>
      </c>
      <c r="X14" s="155">
        <v>0</v>
      </c>
      <c r="Y14" s="155">
        <v>0</v>
      </c>
      <c r="Z14" s="155"/>
      <c r="AA14" s="157">
        <f t="shared" si="4"/>
        <v>1</v>
      </c>
      <c r="AB14" s="155">
        <v>1</v>
      </c>
      <c r="AC14" s="155"/>
      <c r="AD14" s="155"/>
      <c r="AE14" s="155"/>
      <c r="AF14" s="157">
        <f t="shared" si="5"/>
        <v>1</v>
      </c>
      <c r="AG14" s="155">
        <v>1</v>
      </c>
      <c r="AH14" s="155"/>
      <c r="AI14" s="155"/>
      <c r="AJ14" s="155"/>
      <c r="AK14" s="157">
        <f t="shared" si="6"/>
        <v>1</v>
      </c>
      <c r="AL14" s="155">
        <v>0</v>
      </c>
      <c r="AM14" s="155"/>
      <c r="AN14" s="155"/>
      <c r="AO14" s="155"/>
      <c r="AP14" s="157">
        <f t="shared" si="7"/>
        <v>0</v>
      </c>
      <c r="AQ14" s="155">
        <v>1</v>
      </c>
      <c r="AR14" s="155"/>
      <c r="AS14" s="155"/>
      <c r="AT14" s="155"/>
      <c r="AU14" s="157">
        <f t="shared" si="8"/>
        <v>1</v>
      </c>
      <c r="AV14" s="155"/>
      <c r="AW14" s="155"/>
      <c r="AX14" s="155"/>
      <c r="AY14" s="155"/>
      <c r="AZ14" s="157">
        <f t="shared" si="9"/>
        <v>0</v>
      </c>
      <c r="BA14" s="155"/>
      <c r="BB14" s="155"/>
      <c r="BC14" s="155"/>
      <c r="BD14" s="155"/>
      <c r="BE14" s="157">
        <f t="shared" si="10"/>
        <v>0</v>
      </c>
      <c r="BF14" s="155"/>
      <c r="BG14" s="155"/>
      <c r="BH14" s="155"/>
      <c r="BI14" s="155"/>
      <c r="BJ14" s="157">
        <f t="shared" si="11"/>
        <v>0</v>
      </c>
      <c r="BK14" s="156">
        <v>14</v>
      </c>
      <c r="BL14" s="155">
        <f t="shared" si="12"/>
        <v>9</v>
      </c>
      <c r="BM14" s="154">
        <f t="shared" si="13"/>
        <v>5</v>
      </c>
      <c r="BN14" s="173">
        <v>10</v>
      </c>
      <c r="BO14" s="155">
        <f t="shared" si="14"/>
        <v>0</v>
      </c>
      <c r="BP14" s="154">
        <f t="shared" si="15"/>
        <v>10</v>
      </c>
      <c r="BQ14" s="153">
        <f t="shared" si="16"/>
        <v>0</v>
      </c>
      <c r="BR14" s="153"/>
      <c r="BS14" s="152">
        <f t="shared" si="17"/>
        <v>9</v>
      </c>
      <c r="BT14" s="152">
        <f t="shared" si="18"/>
        <v>0</v>
      </c>
      <c r="BU14" s="152">
        <f t="shared" si="19"/>
        <v>0</v>
      </c>
      <c r="BV14" s="152">
        <f t="shared" si="20"/>
        <v>0</v>
      </c>
      <c r="BX14" s="151"/>
    </row>
    <row r="15" spans="1:79" ht="15.6" x14ac:dyDescent="0.3">
      <c r="A15" s="162">
        <v>47</v>
      </c>
      <c r="B15" s="161" t="s">
        <v>51</v>
      </c>
      <c r="C15" s="155">
        <v>1</v>
      </c>
      <c r="D15" s="155">
        <v>0</v>
      </c>
      <c r="E15" s="155">
        <v>0</v>
      </c>
      <c r="F15" s="155"/>
      <c r="G15" s="157">
        <f t="shared" si="0"/>
        <v>1</v>
      </c>
      <c r="H15" s="155">
        <v>1</v>
      </c>
      <c r="I15" s="155">
        <v>0</v>
      </c>
      <c r="J15" s="155">
        <v>0</v>
      </c>
      <c r="K15" s="155"/>
      <c r="L15" s="157">
        <f t="shared" si="1"/>
        <v>1</v>
      </c>
      <c r="M15" s="155">
        <v>0</v>
      </c>
      <c r="N15" s="155">
        <v>0</v>
      </c>
      <c r="O15" s="155">
        <v>4</v>
      </c>
      <c r="P15" s="155"/>
      <c r="Q15" s="157">
        <f t="shared" si="2"/>
        <v>4</v>
      </c>
      <c r="R15" s="155">
        <v>0</v>
      </c>
      <c r="S15" s="155">
        <v>0</v>
      </c>
      <c r="T15" s="155">
        <v>0</v>
      </c>
      <c r="U15" s="155"/>
      <c r="V15" s="157">
        <f t="shared" si="3"/>
        <v>0</v>
      </c>
      <c r="W15" s="155">
        <v>0</v>
      </c>
      <c r="X15" s="155">
        <v>0</v>
      </c>
      <c r="Y15" s="155">
        <v>0</v>
      </c>
      <c r="Z15" s="155"/>
      <c r="AA15" s="157">
        <f t="shared" si="4"/>
        <v>0</v>
      </c>
      <c r="AB15" s="155"/>
      <c r="AC15" s="155"/>
      <c r="AD15" s="155"/>
      <c r="AE15" s="155"/>
      <c r="AF15" s="157">
        <f t="shared" si="5"/>
        <v>0</v>
      </c>
      <c r="AG15" s="155"/>
      <c r="AH15" s="155"/>
      <c r="AI15" s="155"/>
      <c r="AJ15" s="155"/>
      <c r="AK15" s="157">
        <f t="shared" si="6"/>
        <v>0</v>
      </c>
      <c r="AL15" s="155">
        <v>1</v>
      </c>
      <c r="AM15" s="155"/>
      <c r="AN15" s="155"/>
      <c r="AO15" s="155"/>
      <c r="AP15" s="157">
        <f t="shared" si="7"/>
        <v>1</v>
      </c>
      <c r="AQ15" s="155"/>
      <c r="AR15" s="155"/>
      <c r="AS15" s="155"/>
      <c r="AT15" s="155"/>
      <c r="AU15" s="157">
        <f t="shared" si="8"/>
        <v>0</v>
      </c>
      <c r="AV15" s="155"/>
      <c r="AW15" s="155"/>
      <c r="AX15" s="155"/>
      <c r="AY15" s="155"/>
      <c r="AZ15" s="157">
        <f t="shared" si="9"/>
        <v>0</v>
      </c>
      <c r="BA15" s="155"/>
      <c r="BB15" s="155"/>
      <c r="BC15" s="155"/>
      <c r="BD15" s="155"/>
      <c r="BE15" s="157">
        <f t="shared" si="10"/>
        <v>0</v>
      </c>
      <c r="BF15" s="155"/>
      <c r="BG15" s="155"/>
      <c r="BH15" s="155"/>
      <c r="BI15" s="155"/>
      <c r="BJ15" s="157">
        <f t="shared" si="11"/>
        <v>0</v>
      </c>
      <c r="BK15" s="156">
        <v>14</v>
      </c>
      <c r="BL15" s="155">
        <f t="shared" si="12"/>
        <v>3</v>
      </c>
      <c r="BM15" s="154">
        <f t="shared" si="13"/>
        <v>11</v>
      </c>
      <c r="BN15" s="173">
        <v>10</v>
      </c>
      <c r="BO15" s="155">
        <f t="shared" si="14"/>
        <v>4</v>
      </c>
      <c r="BP15" s="154">
        <f t="shared" si="15"/>
        <v>6</v>
      </c>
      <c r="BQ15" s="153">
        <f t="shared" si="16"/>
        <v>0</v>
      </c>
      <c r="BR15" s="153"/>
      <c r="BS15" s="152">
        <f t="shared" si="17"/>
        <v>3</v>
      </c>
      <c r="BT15" s="152">
        <f t="shared" si="18"/>
        <v>0</v>
      </c>
      <c r="BU15" s="152">
        <f t="shared" si="19"/>
        <v>4</v>
      </c>
      <c r="BV15" s="152">
        <f t="shared" si="20"/>
        <v>0</v>
      </c>
      <c r="BX15" s="151"/>
    </row>
    <row r="16" spans="1:79" ht="15.6" x14ac:dyDescent="0.3">
      <c r="A16" s="162">
        <v>49</v>
      </c>
      <c r="B16" s="161" t="s">
        <v>52</v>
      </c>
      <c r="C16" s="155">
        <v>0</v>
      </c>
      <c r="D16" s="155">
        <v>0</v>
      </c>
      <c r="E16" s="155">
        <v>0</v>
      </c>
      <c r="F16" s="155"/>
      <c r="G16" s="157">
        <f t="shared" si="0"/>
        <v>0</v>
      </c>
      <c r="H16" s="155">
        <v>2</v>
      </c>
      <c r="I16" s="155">
        <v>0</v>
      </c>
      <c r="J16" s="155">
        <v>0</v>
      </c>
      <c r="K16" s="155"/>
      <c r="L16" s="157">
        <f t="shared" si="1"/>
        <v>2</v>
      </c>
      <c r="M16" s="155">
        <v>1</v>
      </c>
      <c r="N16" s="155">
        <v>0</v>
      </c>
      <c r="O16" s="155">
        <v>0</v>
      </c>
      <c r="P16" s="155"/>
      <c r="Q16" s="157">
        <f t="shared" si="2"/>
        <v>1</v>
      </c>
      <c r="R16" s="155">
        <v>1</v>
      </c>
      <c r="S16" s="155">
        <v>0</v>
      </c>
      <c r="T16" s="155">
        <v>0</v>
      </c>
      <c r="U16" s="155"/>
      <c r="V16" s="157">
        <f t="shared" si="3"/>
        <v>1</v>
      </c>
      <c r="W16" s="155">
        <v>1</v>
      </c>
      <c r="X16" s="155">
        <v>0</v>
      </c>
      <c r="Y16" s="155">
        <v>0</v>
      </c>
      <c r="Z16" s="155"/>
      <c r="AA16" s="157">
        <f t="shared" si="4"/>
        <v>1</v>
      </c>
      <c r="AB16" s="155">
        <v>1</v>
      </c>
      <c r="AC16" s="155"/>
      <c r="AD16" s="155"/>
      <c r="AE16" s="155"/>
      <c r="AF16" s="157">
        <f t="shared" si="5"/>
        <v>1</v>
      </c>
      <c r="AG16" s="155">
        <v>3</v>
      </c>
      <c r="AH16" s="155"/>
      <c r="AI16" s="155"/>
      <c r="AJ16" s="155"/>
      <c r="AK16" s="157">
        <f t="shared" si="6"/>
        <v>3</v>
      </c>
      <c r="AL16" s="155"/>
      <c r="AM16" s="155"/>
      <c r="AN16" s="176">
        <v>7</v>
      </c>
      <c r="AO16" s="155"/>
      <c r="AP16" s="157">
        <f t="shared" si="7"/>
        <v>7</v>
      </c>
      <c r="AQ16" s="155"/>
      <c r="AR16" s="155"/>
      <c r="AS16" s="155"/>
      <c r="AT16" s="155"/>
      <c r="AU16" s="157">
        <f t="shared" si="8"/>
        <v>0</v>
      </c>
      <c r="AV16" s="155"/>
      <c r="AW16" s="155"/>
      <c r="AX16" s="155"/>
      <c r="AY16" s="155"/>
      <c r="AZ16" s="157">
        <f t="shared" si="9"/>
        <v>0</v>
      </c>
      <c r="BA16" s="155"/>
      <c r="BB16" s="155"/>
      <c r="BC16" s="155"/>
      <c r="BD16" s="155"/>
      <c r="BE16" s="157">
        <f t="shared" si="10"/>
        <v>0</v>
      </c>
      <c r="BF16" s="155"/>
      <c r="BG16" s="155"/>
      <c r="BH16" s="155"/>
      <c r="BI16" s="155"/>
      <c r="BJ16" s="157">
        <f t="shared" si="11"/>
        <v>0</v>
      </c>
      <c r="BK16" s="156">
        <v>14</v>
      </c>
      <c r="BL16" s="155">
        <f t="shared" si="12"/>
        <v>9</v>
      </c>
      <c r="BM16" s="154">
        <f t="shared" si="13"/>
        <v>5</v>
      </c>
      <c r="BN16" s="173">
        <v>10</v>
      </c>
      <c r="BO16" s="155">
        <f t="shared" si="14"/>
        <v>7</v>
      </c>
      <c r="BP16" s="154">
        <f t="shared" si="15"/>
        <v>3</v>
      </c>
      <c r="BQ16" s="153">
        <f t="shared" si="16"/>
        <v>0</v>
      </c>
      <c r="BR16" s="153"/>
      <c r="BS16" s="152">
        <f t="shared" si="17"/>
        <v>9</v>
      </c>
      <c r="BT16" s="152">
        <f t="shared" si="18"/>
        <v>0</v>
      </c>
      <c r="BU16" s="152">
        <f t="shared" si="19"/>
        <v>7</v>
      </c>
      <c r="BV16" s="152">
        <f t="shared" si="20"/>
        <v>0</v>
      </c>
      <c r="BX16" s="151"/>
    </row>
    <row r="17" spans="1:76" ht="15.6" x14ac:dyDescent="0.3">
      <c r="A17" s="162">
        <v>53</v>
      </c>
      <c r="B17" s="161" t="s">
        <v>55</v>
      </c>
      <c r="C17" s="155">
        <v>1</v>
      </c>
      <c r="D17" s="155">
        <v>0</v>
      </c>
      <c r="E17" s="155">
        <v>0</v>
      </c>
      <c r="F17" s="155"/>
      <c r="G17" s="157">
        <f t="shared" si="0"/>
        <v>1</v>
      </c>
      <c r="H17" s="155">
        <v>0</v>
      </c>
      <c r="I17" s="155">
        <v>0</v>
      </c>
      <c r="J17" s="155">
        <v>0</v>
      </c>
      <c r="K17" s="155"/>
      <c r="L17" s="157">
        <f t="shared" si="1"/>
        <v>0</v>
      </c>
      <c r="M17" s="155">
        <v>0</v>
      </c>
      <c r="N17" s="155">
        <v>0</v>
      </c>
      <c r="O17" s="155">
        <v>0</v>
      </c>
      <c r="P17" s="155"/>
      <c r="Q17" s="157">
        <f t="shared" si="2"/>
        <v>0</v>
      </c>
      <c r="R17" s="155">
        <v>0</v>
      </c>
      <c r="S17" s="155">
        <v>1</v>
      </c>
      <c r="T17" s="155">
        <v>0</v>
      </c>
      <c r="U17" s="155"/>
      <c r="V17" s="157">
        <f t="shared" si="3"/>
        <v>1</v>
      </c>
      <c r="W17" s="155">
        <v>1</v>
      </c>
      <c r="X17" s="155">
        <v>0</v>
      </c>
      <c r="Y17" s="155">
        <v>0</v>
      </c>
      <c r="Z17" s="155"/>
      <c r="AA17" s="157">
        <f t="shared" si="4"/>
        <v>1</v>
      </c>
      <c r="AB17" s="155">
        <v>2</v>
      </c>
      <c r="AC17" s="155"/>
      <c r="AD17" s="155"/>
      <c r="AE17" s="155"/>
      <c r="AF17" s="157">
        <f t="shared" si="5"/>
        <v>2</v>
      </c>
      <c r="AG17" s="155">
        <v>1</v>
      </c>
      <c r="AH17" s="155"/>
      <c r="AI17" s="155"/>
      <c r="AJ17" s="155"/>
      <c r="AK17" s="157">
        <f t="shared" si="6"/>
        <v>1</v>
      </c>
      <c r="AL17" s="155">
        <v>0</v>
      </c>
      <c r="AM17" s="155"/>
      <c r="AN17" s="155"/>
      <c r="AO17" s="155"/>
      <c r="AP17" s="157">
        <f t="shared" si="7"/>
        <v>0</v>
      </c>
      <c r="AQ17" s="155">
        <v>1</v>
      </c>
      <c r="AR17" s="155"/>
      <c r="AS17" s="155"/>
      <c r="AT17" s="155"/>
      <c r="AU17" s="157">
        <f t="shared" si="8"/>
        <v>1</v>
      </c>
      <c r="AV17" s="155"/>
      <c r="AW17" s="155"/>
      <c r="AX17" s="155"/>
      <c r="AY17" s="155"/>
      <c r="AZ17" s="157">
        <f t="shared" si="9"/>
        <v>0</v>
      </c>
      <c r="BA17" s="155"/>
      <c r="BB17" s="155"/>
      <c r="BC17" s="155"/>
      <c r="BD17" s="155"/>
      <c r="BE17" s="157">
        <f t="shared" si="10"/>
        <v>0</v>
      </c>
      <c r="BF17" s="155"/>
      <c r="BG17" s="155"/>
      <c r="BH17" s="155"/>
      <c r="BI17" s="155"/>
      <c r="BJ17" s="157">
        <f t="shared" si="11"/>
        <v>0</v>
      </c>
      <c r="BK17" s="156">
        <v>14</v>
      </c>
      <c r="BL17" s="155">
        <f t="shared" si="12"/>
        <v>7</v>
      </c>
      <c r="BM17" s="154">
        <f t="shared" si="13"/>
        <v>7</v>
      </c>
      <c r="BN17" s="173">
        <v>10</v>
      </c>
      <c r="BO17" s="155">
        <f t="shared" si="14"/>
        <v>0</v>
      </c>
      <c r="BP17" s="154">
        <f t="shared" si="15"/>
        <v>10</v>
      </c>
      <c r="BQ17" s="153">
        <f t="shared" si="16"/>
        <v>0</v>
      </c>
      <c r="BR17" s="153"/>
      <c r="BS17" s="152">
        <f t="shared" si="17"/>
        <v>6</v>
      </c>
      <c r="BT17" s="152">
        <f t="shared" si="18"/>
        <v>1</v>
      </c>
      <c r="BU17" s="152">
        <f t="shared" si="19"/>
        <v>0</v>
      </c>
      <c r="BV17" s="152">
        <f t="shared" si="20"/>
        <v>0</v>
      </c>
      <c r="BX17" s="151"/>
    </row>
    <row r="18" spans="1:76" ht="15.6" x14ac:dyDescent="0.3">
      <c r="A18" s="162">
        <v>70</v>
      </c>
      <c r="B18" s="161" t="s">
        <v>72</v>
      </c>
      <c r="C18" s="155">
        <v>2</v>
      </c>
      <c r="D18" s="155">
        <v>0</v>
      </c>
      <c r="E18" s="155">
        <v>0</v>
      </c>
      <c r="F18" s="155"/>
      <c r="G18" s="157">
        <f t="shared" si="0"/>
        <v>2</v>
      </c>
      <c r="H18" s="155">
        <v>0</v>
      </c>
      <c r="I18" s="155">
        <v>0</v>
      </c>
      <c r="J18" s="155">
        <v>0</v>
      </c>
      <c r="K18" s="155"/>
      <c r="L18" s="157">
        <f t="shared" si="1"/>
        <v>0</v>
      </c>
      <c r="M18" s="155">
        <v>0</v>
      </c>
      <c r="N18" s="155">
        <v>0</v>
      </c>
      <c r="O18" s="155">
        <v>0</v>
      </c>
      <c r="P18" s="155"/>
      <c r="Q18" s="157">
        <f t="shared" si="2"/>
        <v>0</v>
      </c>
      <c r="R18" s="155">
        <v>0</v>
      </c>
      <c r="S18" s="155">
        <v>1</v>
      </c>
      <c r="T18" s="155">
        <v>0</v>
      </c>
      <c r="U18" s="155"/>
      <c r="V18" s="157">
        <f t="shared" si="3"/>
        <v>1</v>
      </c>
      <c r="W18" s="155">
        <v>1</v>
      </c>
      <c r="X18" s="155">
        <v>0</v>
      </c>
      <c r="Y18" s="155">
        <v>0</v>
      </c>
      <c r="Z18" s="155"/>
      <c r="AA18" s="157">
        <f t="shared" si="4"/>
        <v>1</v>
      </c>
      <c r="AB18" s="155"/>
      <c r="AC18" s="155"/>
      <c r="AD18" s="155"/>
      <c r="AE18" s="155"/>
      <c r="AF18" s="157">
        <f t="shared" si="5"/>
        <v>0</v>
      </c>
      <c r="AG18" s="155">
        <v>3</v>
      </c>
      <c r="AH18" s="155"/>
      <c r="AI18" s="155"/>
      <c r="AJ18" s="155"/>
      <c r="AK18" s="157">
        <f t="shared" si="6"/>
        <v>3</v>
      </c>
      <c r="AL18" s="155">
        <v>0</v>
      </c>
      <c r="AM18" s="155"/>
      <c r="AN18" s="155"/>
      <c r="AO18" s="155"/>
      <c r="AP18" s="157">
        <f t="shared" si="7"/>
        <v>0</v>
      </c>
      <c r="AQ18" s="155"/>
      <c r="AR18" s="155"/>
      <c r="AS18" s="155"/>
      <c r="AT18" s="155"/>
      <c r="AU18" s="157">
        <f t="shared" si="8"/>
        <v>0</v>
      </c>
      <c r="AV18" s="155"/>
      <c r="AW18" s="155"/>
      <c r="AX18" s="155"/>
      <c r="AY18" s="155"/>
      <c r="AZ18" s="157">
        <f t="shared" si="9"/>
        <v>0</v>
      </c>
      <c r="BA18" s="155"/>
      <c r="BB18" s="155"/>
      <c r="BC18" s="155"/>
      <c r="BD18" s="155"/>
      <c r="BE18" s="157">
        <f t="shared" si="10"/>
        <v>0</v>
      </c>
      <c r="BF18" s="155"/>
      <c r="BG18" s="155"/>
      <c r="BH18" s="155"/>
      <c r="BI18" s="155"/>
      <c r="BJ18" s="157">
        <f t="shared" si="11"/>
        <v>0</v>
      </c>
      <c r="BK18" s="156">
        <v>14</v>
      </c>
      <c r="BL18" s="155">
        <f t="shared" si="12"/>
        <v>7</v>
      </c>
      <c r="BM18" s="154">
        <f t="shared" si="13"/>
        <v>7</v>
      </c>
      <c r="BN18" s="173">
        <v>10</v>
      </c>
      <c r="BO18" s="155">
        <f t="shared" si="14"/>
        <v>0</v>
      </c>
      <c r="BP18" s="154">
        <f t="shared" si="15"/>
        <v>10</v>
      </c>
      <c r="BQ18" s="153">
        <f t="shared" si="16"/>
        <v>0</v>
      </c>
      <c r="BR18" s="153"/>
      <c r="BS18" s="152">
        <f t="shared" si="17"/>
        <v>6</v>
      </c>
      <c r="BT18" s="152">
        <f t="shared" si="18"/>
        <v>1</v>
      </c>
      <c r="BU18" s="152">
        <f t="shared" si="19"/>
        <v>0</v>
      </c>
      <c r="BV18" s="152">
        <f t="shared" si="20"/>
        <v>0</v>
      </c>
      <c r="BX18" s="151"/>
    </row>
    <row r="19" spans="1:76" ht="15.6" x14ac:dyDescent="0.3">
      <c r="A19" s="162">
        <v>75</v>
      </c>
      <c r="B19" s="161" t="s">
        <v>78</v>
      </c>
      <c r="C19" s="155">
        <v>2</v>
      </c>
      <c r="D19" s="155">
        <v>0</v>
      </c>
      <c r="E19" s="155">
        <v>0</v>
      </c>
      <c r="F19" s="155"/>
      <c r="G19" s="157">
        <f t="shared" si="0"/>
        <v>2</v>
      </c>
      <c r="H19" s="155">
        <v>1</v>
      </c>
      <c r="I19" s="155">
        <v>0</v>
      </c>
      <c r="J19" s="155">
        <v>0</v>
      </c>
      <c r="K19" s="155"/>
      <c r="L19" s="157">
        <f t="shared" si="1"/>
        <v>1</v>
      </c>
      <c r="M19" s="155">
        <v>0</v>
      </c>
      <c r="N19" s="155">
        <v>0</v>
      </c>
      <c r="O19" s="155">
        <v>0</v>
      </c>
      <c r="P19" s="155"/>
      <c r="Q19" s="157">
        <f t="shared" si="2"/>
        <v>0</v>
      </c>
      <c r="R19" s="155">
        <v>0</v>
      </c>
      <c r="S19" s="155">
        <v>2</v>
      </c>
      <c r="T19" s="155">
        <v>0</v>
      </c>
      <c r="U19" s="155"/>
      <c r="V19" s="157">
        <f t="shared" si="3"/>
        <v>2</v>
      </c>
      <c r="W19" s="155">
        <v>1</v>
      </c>
      <c r="X19" s="155">
        <v>0</v>
      </c>
      <c r="Y19" s="155">
        <v>0</v>
      </c>
      <c r="Z19" s="155"/>
      <c r="AA19" s="157">
        <f t="shared" si="4"/>
        <v>1</v>
      </c>
      <c r="AB19" s="155"/>
      <c r="AC19" s="155"/>
      <c r="AD19" s="155"/>
      <c r="AE19" s="155"/>
      <c r="AF19" s="157">
        <f t="shared" si="5"/>
        <v>0</v>
      </c>
      <c r="AG19" s="155"/>
      <c r="AH19" s="155"/>
      <c r="AI19" s="155"/>
      <c r="AJ19" s="155"/>
      <c r="AK19" s="157">
        <f t="shared" si="6"/>
        <v>0</v>
      </c>
      <c r="AL19" s="155">
        <v>0</v>
      </c>
      <c r="AM19" s="155"/>
      <c r="AN19" s="155"/>
      <c r="AO19" s="155"/>
      <c r="AP19" s="157">
        <f t="shared" si="7"/>
        <v>0</v>
      </c>
      <c r="AQ19" s="155">
        <v>1</v>
      </c>
      <c r="AR19" s="155"/>
      <c r="AS19" s="155"/>
      <c r="AT19" s="155"/>
      <c r="AU19" s="157">
        <f t="shared" si="8"/>
        <v>1</v>
      </c>
      <c r="AV19" s="155"/>
      <c r="AW19" s="155"/>
      <c r="AX19" s="155"/>
      <c r="AY19" s="155"/>
      <c r="AZ19" s="157">
        <f t="shared" si="9"/>
        <v>0</v>
      </c>
      <c r="BA19" s="155"/>
      <c r="BB19" s="155"/>
      <c r="BC19" s="155"/>
      <c r="BD19" s="155"/>
      <c r="BE19" s="157">
        <f t="shared" si="10"/>
        <v>0</v>
      </c>
      <c r="BF19" s="155"/>
      <c r="BG19" s="155"/>
      <c r="BH19" s="155"/>
      <c r="BI19" s="155"/>
      <c r="BJ19" s="157">
        <f t="shared" si="11"/>
        <v>0</v>
      </c>
      <c r="BK19" s="156">
        <v>14</v>
      </c>
      <c r="BL19" s="155">
        <f t="shared" si="12"/>
        <v>7</v>
      </c>
      <c r="BM19" s="154">
        <f t="shared" si="13"/>
        <v>7</v>
      </c>
      <c r="BN19" s="173">
        <v>10</v>
      </c>
      <c r="BO19" s="155">
        <f t="shared" si="14"/>
        <v>0</v>
      </c>
      <c r="BP19" s="154">
        <f t="shared" si="15"/>
        <v>10</v>
      </c>
      <c r="BQ19" s="153">
        <f t="shared" si="16"/>
        <v>0</v>
      </c>
      <c r="BR19" s="153"/>
      <c r="BS19" s="152">
        <f t="shared" si="17"/>
        <v>5</v>
      </c>
      <c r="BT19" s="152">
        <f t="shared" si="18"/>
        <v>2</v>
      </c>
      <c r="BU19" s="152">
        <f t="shared" si="19"/>
        <v>0</v>
      </c>
      <c r="BV19" s="152">
        <f t="shared" si="20"/>
        <v>0</v>
      </c>
      <c r="BX19" s="151"/>
    </row>
    <row r="20" spans="1:76" ht="15.6" x14ac:dyDescent="0.3">
      <c r="A20" s="162">
        <v>78</v>
      </c>
      <c r="B20" s="161" t="s">
        <v>328</v>
      </c>
      <c r="C20" s="155">
        <v>1</v>
      </c>
      <c r="D20" s="155">
        <v>0</v>
      </c>
      <c r="E20" s="155">
        <v>0</v>
      </c>
      <c r="F20" s="155"/>
      <c r="G20" s="157">
        <f t="shared" si="0"/>
        <v>1</v>
      </c>
      <c r="H20" s="155">
        <v>0</v>
      </c>
      <c r="I20" s="155">
        <v>0</v>
      </c>
      <c r="J20" s="155">
        <v>0</v>
      </c>
      <c r="K20" s="155"/>
      <c r="L20" s="157">
        <f t="shared" si="1"/>
        <v>0</v>
      </c>
      <c r="M20" s="155">
        <v>1</v>
      </c>
      <c r="N20" s="155">
        <v>0</v>
      </c>
      <c r="O20" s="155">
        <v>0</v>
      </c>
      <c r="P20" s="155"/>
      <c r="Q20" s="157">
        <f t="shared" si="2"/>
        <v>1</v>
      </c>
      <c r="R20" s="155">
        <v>0</v>
      </c>
      <c r="S20" s="155">
        <v>2</v>
      </c>
      <c r="T20" s="155">
        <v>0</v>
      </c>
      <c r="U20" s="155"/>
      <c r="V20" s="157">
        <f t="shared" si="3"/>
        <v>2</v>
      </c>
      <c r="W20" s="155">
        <v>0</v>
      </c>
      <c r="X20" s="155">
        <v>2</v>
      </c>
      <c r="Y20" s="155">
        <v>0</v>
      </c>
      <c r="Z20" s="155"/>
      <c r="AA20" s="157">
        <f t="shared" si="4"/>
        <v>2</v>
      </c>
      <c r="AB20" s="155">
        <v>1</v>
      </c>
      <c r="AC20" s="155"/>
      <c r="AD20" s="155"/>
      <c r="AE20" s="155"/>
      <c r="AF20" s="157">
        <f t="shared" si="5"/>
        <v>1</v>
      </c>
      <c r="AG20" s="155">
        <v>2</v>
      </c>
      <c r="AH20" s="155"/>
      <c r="AI20" s="155"/>
      <c r="AJ20" s="155"/>
      <c r="AK20" s="157">
        <f t="shared" si="6"/>
        <v>2</v>
      </c>
      <c r="AL20" s="155">
        <v>1</v>
      </c>
      <c r="AM20" s="155"/>
      <c r="AN20" s="155"/>
      <c r="AO20" s="155"/>
      <c r="AP20" s="157">
        <f t="shared" si="7"/>
        <v>1</v>
      </c>
      <c r="AQ20" s="155"/>
      <c r="AR20" s="155"/>
      <c r="AS20" s="155"/>
      <c r="AT20" s="155"/>
      <c r="AU20" s="157">
        <f t="shared" si="8"/>
        <v>0</v>
      </c>
      <c r="AV20" s="155"/>
      <c r="AW20" s="155"/>
      <c r="AX20" s="155"/>
      <c r="AY20" s="155"/>
      <c r="AZ20" s="157">
        <f t="shared" si="9"/>
        <v>0</v>
      </c>
      <c r="BA20" s="155"/>
      <c r="BB20" s="155"/>
      <c r="BC20" s="155"/>
      <c r="BD20" s="155"/>
      <c r="BE20" s="157">
        <f t="shared" si="10"/>
        <v>0</v>
      </c>
      <c r="BF20" s="155"/>
      <c r="BG20" s="155"/>
      <c r="BH20" s="155"/>
      <c r="BI20" s="155"/>
      <c r="BJ20" s="157">
        <f t="shared" si="11"/>
        <v>0</v>
      </c>
      <c r="BK20" s="156">
        <v>14</v>
      </c>
      <c r="BL20" s="155">
        <f t="shared" si="12"/>
        <v>10</v>
      </c>
      <c r="BM20" s="154">
        <f t="shared" si="13"/>
        <v>4</v>
      </c>
      <c r="BN20" s="173">
        <v>10</v>
      </c>
      <c r="BO20" s="155">
        <f t="shared" si="14"/>
        <v>0</v>
      </c>
      <c r="BP20" s="154">
        <f t="shared" si="15"/>
        <v>10</v>
      </c>
      <c r="BQ20" s="153">
        <f t="shared" si="16"/>
        <v>0</v>
      </c>
      <c r="BR20" s="153"/>
      <c r="BS20" s="152">
        <f t="shared" si="17"/>
        <v>6</v>
      </c>
      <c r="BT20" s="152">
        <f t="shared" si="18"/>
        <v>4</v>
      </c>
      <c r="BU20" s="152">
        <f t="shared" si="19"/>
        <v>0</v>
      </c>
      <c r="BV20" s="152">
        <f t="shared" si="20"/>
        <v>0</v>
      </c>
      <c r="BX20" s="151"/>
    </row>
    <row r="21" spans="1:76" ht="15.6" x14ac:dyDescent="0.3">
      <c r="A21" s="162">
        <v>80</v>
      </c>
      <c r="B21" s="161" t="s">
        <v>76</v>
      </c>
      <c r="C21" s="155">
        <v>0</v>
      </c>
      <c r="D21" s="155">
        <v>0</v>
      </c>
      <c r="E21" s="155">
        <v>0</v>
      </c>
      <c r="F21" s="155"/>
      <c r="G21" s="157">
        <f t="shared" si="0"/>
        <v>0</v>
      </c>
      <c r="H21" s="155">
        <v>1</v>
      </c>
      <c r="I21" s="155">
        <v>0</v>
      </c>
      <c r="J21" s="155">
        <v>0</v>
      </c>
      <c r="K21" s="155"/>
      <c r="L21" s="157">
        <f t="shared" si="1"/>
        <v>1</v>
      </c>
      <c r="M21" s="155">
        <v>0</v>
      </c>
      <c r="N21" s="155">
        <v>0</v>
      </c>
      <c r="O21" s="155">
        <v>0</v>
      </c>
      <c r="P21" s="155"/>
      <c r="Q21" s="157">
        <f t="shared" si="2"/>
        <v>0</v>
      </c>
      <c r="R21" s="155">
        <v>0</v>
      </c>
      <c r="S21" s="155">
        <v>0</v>
      </c>
      <c r="T21" s="155">
        <v>0</v>
      </c>
      <c r="U21" s="155"/>
      <c r="V21" s="157">
        <f t="shared" si="3"/>
        <v>0</v>
      </c>
      <c r="W21" s="155">
        <v>0</v>
      </c>
      <c r="X21" s="155">
        <v>0</v>
      </c>
      <c r="Y21" s="155">
        <v>0</v>
      </c>
      <c r="Z21" s="155"/>
      <c r="AA21" s="157">
        <f t="shared" si="4"/>
        <v>0</v>
      </c>
      <c r="AB21" s="155"/>
      <c r="AC21" s="155"/>
      <c r="AD21" s="155"/>
      <c r="AE21" s="155"/>
      <c r="AF21" s="157">
        <f t="shared" si="5"/>
        <v>0</v>
      </c>
      <c r="AG21" s="155">
        <v>1</v>
      </c>
      <c r="AH21" s="155"/>
      <c r="AI21" s="155"/>
      <c r="AJ21" s="155"/>
      <c r="AK21" s="157">
        <f t="shared" si="6"/>
        <v>1</v>
      </c>
      <c r="AL21" s="155">
        <v>1</v>
      </c>
      <c r="AM21" s="155"/>
      <c r="AN21" s="155"/>
      <c r="AO21" s="155"/>
      <c r="AP21" s="157">
        <f t="shared" si="7"/>
        <v>1</v>
      </c>
      <c r="AQ21" s="155"/>
      <c r="AR21" s="155">
        <v>4</v>
      </c>
      <c r="AS21" s="155"/>
      <c r="AT21" s="155"/>
      <c r="AU21" s="157">
        <f t="shared" si="8"/>
        <v>4</v>
      </c>
      <c r="AV21" s="155"/>
      <c r="AW21" s="155"/>
      <c r="AX21" s="155"/>
      <c r="AY21" s="155"/>
      <c r="AZ21" s="157">
        <f t="shared" si="9"/>
        <v>0</v>
      </c>
      <c r="BA21" s="155"/>
      <c r="BB21" s="155"/>
      <c r="BC21" s="155"/>
      <c r="BD21" s="155"/>
      <c r="BE21" s="157">
        <f t="shared" si="10"/>
        <v>0</v>
      </c>
      <c r="BF21" s="155"/>
      <c r="BG21" s="155"/>
      <c r="BH21" s="155"/>
      <c r="BI21" s="155"/>
      <c r="BJ21" s="157">
        <f t="shared" si="11"/>
        <v>0</v>
      </c>
      <c r="BK21" s="156">
        <v>14</v>
      </c>
      <c r="BL21" s="155">
        <f t="shared" si="12"/>
        <v>7</v>
      </c>
      <c r="BM21" s="154">
        <f t="shared" si="13"/>
        <v>7</v>
      </c>
      <c r="BN21" s="173">
        <v>10</v>
      </c>
      <c r="BO21" s="155">
        <f t="shared" si="14"/>
        <v>0</v>
      </c>
      <c r="BP21" s="154">
        <f t="shared" si="15"/>
        <v>10</v>
      </c>
      <c r="BQ21" s="153">
        <f t="shared" si="16"/>
        <v>0</v>
      </c>
      <c r="BR21" s="153"/>
      <c r="BS21" s="152">
        <f t="shared" si="17"/>
        <v>3</v>
      </c>
      <c r="BT21" s="152">
        <f t="shared" si="18"/>
        <v>4</v>
      </c>
      <c r="BU21" s="152">
        <f t="shared" si="19"/>
        <v>0</v>
      </c>
      <c r="BV21" s="152">
        <f t="shared" si="20"/>
        <v>0</v>
      </c>
      <c r="BX21" s="151"/>
    </row>
    <row r="22" spans="1:76" ht="15.6" x14ac:dyDescent="0.3">
      <c r="A22" s="162">
        <v>82</v>
      </c>
      <c r="B22" s="161" t="s">
        <v>77</v>
      </c>
      <c r="C22" s="155">
        <v>0</v>
      </c>
      <c r="D22" s="155">
        <v>0</v>
      </c>
      <c r="E22" s="155">
        <v>0</v>
      </c>
      <c r="F22" s="155"/>
      <c r="G22" s="157">
        <f t="shared" si="0"/>
        <v>0</v>
      </c>
      <c r="H22" s="155">
        <v>1</v>
      </c>
      <c r="I22" s="155">
        <v>0</v>
      </c>
      <c r="J22" s="155">
        <v>0</v>
      </c>
      <c r="K22" s="155"/>
      <c r="L22" s="157">
        <f t="shared" si="1"/>
        <v>1</v>
      </c>
      <c r="M22" s="155">
        <v>0</v>
      </c>
      <c r="N22" s="155">
        <v>0</v>
      </c>
      <c r="O22" s="155">
        <v>0</v>
      </c>
      <c r="P22" s="155"/>
      <c r="Q22" s="157">
        <f t="shared" si="2"/>
        <v>0</v>
      </c>
      <c r="R22" s="155">
        <v>0</v>
      </c>
      <c r="S22" s="155">
        <v>0</v>
      </c>
      <c r="T22" s="155">
        <v>0</v>
      </c>
      <c r="U22" s="155"/>
      <c r="V22" s="157">
        <f t="shared" si="3"/>
        <v>0</v>
      </c>
      <c r="W22" s="155">
        <v>0</v>
      </c>
      <c r="X22" s="155">
        <v>0</v>
      </c>
      <c r="Y22" s="155">
        <v>0</v>
      </c>
      <c r="Z22" s="155"/>
      <c r="AA22" s="157">
        <f t="shared" si="4"/>
        <v>0</v>
      </c>
      <c r="AB22" s="155"/>
      <c r="AC22" s="155"/>
      <c r="AD22" s="155"/>
      <c r="AE22" s="155"/>
      <c r="AF22" s="157">
        <f t="shared" si="5"/>
        <v>0</v>
      </c>
      <c r="AG22" s="155">
        <v>3</v>
      </c>
      <c r="AH22" s="155"/>
      <c r="AI22" s="155"/>
      <c r="AJ22" s="155"/>
      <c r="AK22" s="157">
        <f t="shared" si="6"/>
        <v>3</v>
      </c>
      <c r="AL22" s="155">
        <v>3</v>
      </c>
      <c r="AM22" s="155"/>
      <c r="AN22" s="155"/>
      <c r="AO22" s="155"/>
      <c r="AP22" s="157">
        <f t="shared" si="7"/>
        <v>3</v>
      </c>
      <c r="AQ22" s="155"/>
      <c r="AR22" s="155">
        <v>1</v>
      </c>
      <c r="AS22" s="155"/>
      <c r="AT22" s="155"/>
      <c r="AU22" s="157">
        <f t="shared" si="8"/>
        <v>1</v>
      </c>
      <c r="AV22" s="155"/>
      <c r="AW22" s="155"/>
      <c r="AX22" s="155"/>
      <c r="AY22" s="155"/>
      <c r="AZ22" s="157">
        <f t="shared" si="9"/>
        <v>0</v>
      </c>
      <c r="BA22" s="155"/>
      <c r="BB22" s="155"/>
      <c r="BC22" s="155"/>
      <c r="BD22" s="155"/>
      <c r="BE22" s="157">
        <f t="shared" si="10"/>
        <v>0</v>
      </c>
      <c r="BF22" s="155"/>
      <c r="BG22" s="155"/>
      <c r="BH22" s="155"/>
      <c r="BI22" s="155"/>
      <c r="BJ22" s="157">
        <f t="shared" si="11"/>
        <v>0</v>
      </c>
      <c r="BK22" s="156">
        <v>14</v>
      </c>
      <c r="BL22" s="155">
        <f t="shared" si="12"/>
        <v>8</v>
      </c>
      <c r="BM22" s="154">
        <f t="shared" si="13"/>
        <v>6</v>
      </c>
      <c r="BN22" s="173">
        <v>10</v>
      </c>
      <c r="BO22" s="155">
        <f t="shared" si="14"/>
        <v>0</v>
      </c>
      <c r="BP22" s="154">
        <f t="shared" si="15"/>
        <v>10</v>
      </c>
      <c r="BQ22" s="153">
        <f t="shared" si="16"/>
        <v>0</v>
      </c>
      <c r="BR22" s="153"/>
      <c r="BS22" s="152">
        <f t="shared" si="17"/>
        <v>7</v>
      </c>
      <c r="BT22" s="152">
        <f t="shared" si="18"/>
        <v>1</v>
      </c>
      <c r="BU22" s="152">
        <f t="shared" si="19"/>
        <v>0</v>
      </c>
      <c r="BV22" s="152">
        <f t="shared" si="20"/>
        <v>0</v>
      </c>
      <c r="BX22" s="151"/>
    </row>
    <row r="23" spans="1:76" ht="15.6" x14ac:dyDescent="0.3">
      <c r="A23" s="162">
        <v>89</v>
      </c>
      <c r="B23" s="161" t="s">
        <v>80</v>
      </c>
      <c r="C23" s="155">
        <v>0</v>
      </c>
      <c r="D23" s="155">
        <v>0</v>
      </c>
      <c r="E23" s="155">
        <v>0</v>
      </c>
      <c r="F23" s="155"/>
      <c r="G23" s="157">
        <f t="shared" si="0"/>
        <v>0</v>
      </c>
      <c r="H23" s="155">
        <v>0</v>
      </c>
      <c r="I23" s="155">
        <v>0</v>
      </c>
      <c r="J23" s="155">
        <v>0</v>
      </c>
      <c r="K23" s="155"/>
      <c r="L23" s="157">
        <f t="shared" si="1"/>
        <v>0</v>
      </c>
      <c r="M23" s="155">
        <v>1</v>
      </c>
      <c r="N23" s="155">
        <v>0</v>
      </c>
      <c r="O23" s="155">
        <v>0</v>
      </c>
      <c r="P23" s="155"/>
      <c r="Q23" s="157">
        <f t="shared" si="2"/>
        <v>1</v>
      </c>
      <c r="R23" s="155">
        <v>0</v>
      </c>
      <c r="S23" s="155">
        <v>0</v>
      </c>
      <c r="T23" s="155">
        <v>0</v>
      </c>
      <c r="U23" s="155"/>
      <c r="V23" s="157">
        <f t="shared" si="3"/>
        <v>0</v>
      </c>
      <c r="W23" s="155">
        <v>0</v>
      </c>
      <c r="X23" s="155">
        <v>0</v>
      </c>
      <c r="Y23" s="155">
        <v>0</v>
      </c>
      <c r="Z23" s="155"/>
      <c r="AA23" s="157">
        <f t="shared" si="4"/>
        <v>0</v>
      </c>
      <c r="AB23" s="155"/>
      <c r="AC23" s="155"/>
      <c r="AD23" s="155"/>
      <c r="AE23" s="155"/>
      <c r="AF23" s="157">
        <f t="shared" si="5"/>
        <v>0</v>
      </c>
      <c r="AG23" s="155"/>
      <c r="AH23" s="155"/>
      <c r="AI23" s="155"/>
      <c r="AJ23" s="155"/>
      <c r="AK23" s="157">
        <f t="shared" si="6"/>
        <v>0</v>
      </c>
      <c r="AL23" s="155">
        <v>0</v>
      </c>
      <c r="AM23" s="155"/>
      <c r="AN23" s="155"/>
      <c r="AO23" s="155"/>
      <c r="AP23" s="157">
        <f t="shared" si="7"/>
        <v>0</v>
      </c>
      <c r="AQ23" s="155"/>
      <c r="AR23" s="155">
        <v>1</v>
      </c>
      <c r="AS23" s="155"/>
      <c r="AT23" s="155"/>
      <c r="AU23" s="157">
        <f t="shared" si="8"/>
        <v>1</v>
      </c>
      <c r="AV23" s="155"/>
      <c r="AW23" s="155"/>
      <c r="AX23" s="155"/>
      <c r="AY23" s="155"/>
      <c r="AZ23" s="157">
        <f t="shared" si="9"/>
        <v>0</v>
      </c>
      <c r="BA23" s="155"/>
      <c r="BB23" s="155"/>
      <c r="BC23" s="155"/>
      <c r="BD23" s="155"/>
      <c r="BE23" s="157">
        <f t="shared" si="10"/>
        <v>0</v>
      </c>
      <c r="BF23" s="155"/>
      <c r="BG23" s="155"/>
      <c r="BH23" s="155"/>
      <c r="BI23" s="155"/>
      <c r="BJ23" s="157">
        <f t="shared" si="11"/>
        <v>0</v>
      </c>
      <c r="BK23" s="156">
        <v>14</v>
      </c>
      <c r="BL23" s="155">
        <f t="shared" si="12"/>
        <v>2</v>
      </c>
      <c r="BM23" s="154">
        <f t="shared" si="13"/>
        <v>12</v>
      </c>
      <c r="BN23" s="173">
        <v>10</v>
      </c>
      <c r="BO23" s="155">
        <f t="shared" si="14"/>
        <v>0</v>
      </c>
      <c r="BP23" s="154">
        <f t="shared" si="15"/>
        <v>10</v>
      </c>
      <c r="BQ23" s="153">
        <f t="shared" si="16"/>
        <v>0</v>
      </c>
      <c r="BR23" s="153"/>
      <c r="BS23" s="152">
        <f t="shared" si="17"/>
        <v>1</v>
      </c>
      <c r="BT23" s="152">
        <f t="shared" si="18"/>
        <v>1</v>
      </c>
      <c r="BU23" s="152">
        <f t="shared" si="19"/>
        <v>0</v>
      </c>
      <c r="BV23" s="152">
        <f t="shared" si="20"/>
        <v>0</v>
      </c>
      <c r="BX23" s="151"/>
    </row>
    <row r="24" spans="1:76" ht="15.6" x14ac:dyDescent="0.3">
      <c r="A24" s="162">
        <v>110</v>
      </c>
      <c r="B24" s="161" t="s">
        <v>143</v>
      </c>
      <c r="C24" s="155">
        <v>1</v>
      </c>
      <c r="D24" s="155">
        <v>1</v>
      </c>
      <c r="E24" s="155">
        <v>0</v>
      </c>
      <c r="F24" s="174"/>
      <c r="G24" s="157">
        <f t="shared" si="0"/>
        <v>2</v>
      </c>
      <c r="H24" s="155">
        <v>0</v>
      </c>
      <c r="I24" s="155">
        <v>0</v>
      </c>
      <c r="J24" s="155">
        <v>0</v>
      </c>
      <c r="K24" s="174"/>
      <c r="L24" s="157">
        <f t="shared" si="1"/>
        <v>0</v>
      </c>
      <c r="M24" s="155">
        <v>0</v>
      </c>
      <c r="N24" s="155">
        <v>0</v>
      </c>
      <c r="O24" s="155">
        <v>0</v>
      </c>
      <c r="P24" s="155"/>
      <c r="Q24" s="157">
        <f t="shared" si="2"/>
        <v>0</v>
      </c>
      <c r="R24" s="155">
        <v>0</v>
      </c>
      <c r="S24" s="155">
        <v>0</v>
      </c>
      <c r="T24" s="155">
        <v>0</v>
      </c>
      <c r="U24" s="155"/>
      <c r="V24" s="157">
        <f t="shared" si="3"/>
        <v>0</v>
      </c>
      <c r="W24" s="155">
        <v>0</v>
      </c>
      <c r="X24" s="155">
        <v>0</v>
      </c>
      <c r="Y24" s="155">
        <v>0</v>
      </c>
      <c r="Z24" s="155"/>
      <c r="AA24" s="157">
        <f t="shared" si="4"/>
        <v>0</v>
      </c>
      <c r="AB24" s="152">
        <v>1</v>
      </c>
      <c r="AC24" s="152"/>
      <c r="AD24" s="152"/>
      <c r="AE24" s="155"/>
      <c r="AF24" s="157">
        <f t="shared" si="5"/>
        <v>1</v>
      </c>
      <c r="AG24" s="152">
        <v>4</v>
      </c>
      <c r="AH24" s="152"/>
      <c r="AI24" s="152"/>
      <c r="AJ24" s="155"/>
      <c r="AK24" s="157">
        <f t="shared" si="6"/>
        <v>4</v>
      </c>
      <c r="AL24" s="152">
        <v>0</v>
      </c>
      <c r="AM24" s="152"/>
      <c r="AN24" s="152"/>
      <c r="AO24" s="155"/>
      <c r="AP24" s="157">
        <f t="shared" si="7"/>
        <v>0</v>
      </c>
      <c r="AQ24" s="152"/>
      <c r="AR24" s="152">
        <v>1</v>
      </c>
      <c r="AS24" s="152"/>
      <c r="AT24" s="155"/>
      <c r="AU24" s="157">
        <f t="shared" si="8"/>
        <v>1</v>
      </c>
      <c r="AV24" s="152"/>
      <c r="AW24" s="152"/>
      <c r="AX24" s="152"/>
      <c r="AY24" s="155"/>
      <c r="AZ24" s="157">
        <f t="shared" si="9"/>
        <v>0</v>
      </c>
      <c r="BA24" s="152"/>
      <c r="BB24" s="152"/>
      <c r="BC24" s="152"/>
      <c r="BD24" s="155"/>
      <c r="BE24" s="157">
        <f t="shared" si="10"/>
        <v>0</v>
      </c>
      <c r="BF24" s="152"/>
      <c r="BG24" s="152"/>
      <c r="BH24" s="152"/>
      <c r="BI24" s="155"/>
      <c r="BJ24" s="157">
        <f t="shared" si="11"/>
        <v>0</v>
      </c>
      <c r="BK24" s="156">
        <v>14</v>
      </c>
      <c r="BL24" s="155">
        <f t="shared" si="12"/>
        <v>8</v>
      </c>
      <c r="BM24" s="154">
        <f t="shared" si="13"/>
        <v>6</v>
      </c>
      <c r="BN24" s="173">
        <v>10</v>
      </c>
      <c r="BO24" s="155">
        <f t="shared" si="14"/>
        <v>0</v>
      </c>
      <c r="BP24" s="154">
        <f t="shared" si="15"/>
        <v>10</v>
      </c>
      <c r="BQ24" s="153">
        <f t="shared" si="16"/>
        <v>0</v>
      </c>
      <c r="BR24" s="153"/>
      <c r="BS24" s="152">
        <f t="shared" si="17"/>
        <v>6</v>
      </c>
      <c r="BT24" s="152">
        <f t="shared" si="18"/>
        <v>2</v>
      </c>
      <c r="BU24" s="152">
        <f t="shared" si="19"/>
        <v>0</v>
      </c>
      <c r="BV24" s="152">
        <f t="shared" si="20"/>
        <v>0</v>
      </c>
      <c r="BX24" s="151"/>
    </row>
    <row r="25" spans="1:76" ht="15.6" x14ac:dyDescent="0.3">
      <c r="A25" s="162">
        <v>113</v>
      </c>
      <c r="B25" s="161" t="s">
        <v>157</v>
      </c>
      <c r="C25" s="155">
        <v>0</v>
      </c>
      <c r="D25" s="155">
        <v>0</v>
      </c>
      <c r="E25" s="155">
        <v>0</v>
      </c>
      <c r="F25" s="174"/>
      <c r="G25" s="157">
        <f t="shared" si="0"/>
        <v>0</v>
      </c>
      <c r="H25" s="155">
        <v>1</v>
      </c>
      <c r="I25" s="155">
        <v>0</v>
      </c>
      <c r="J25" s="155">
        <v>0</v>
      </c>
      <c r="K25" s="174"/>
      <c r="L25" s="157">
        <f t="shared" si="1"/>
        <v>1</v>
      </c>
      <c r="M25" s="155">
        <v>0</v>
      </c>
      <c r="N25" s="155">
        <v>1</v>
      </c>
      <c r="O25" s="155">
        <v>0</v>
      </c>
      <c r="P25" s="155"/>
      <c r="Q25" s="157">
        <f t="shared" si="2"/>
        <v>1</v>
      </c>
      <c r="R25" s="155">
        <v>0</v>
      </c>
      <c r="S25" s="155">
        <v>3</v>
      </c>
      <c r="T25" s="155">
        <v>0</v>
      </c>
      <c r="U25" s="175">
        <v>1</v>
      </c>
      <c r="V25" s="157">
        <f t="shared" si="3"/>
        <v>2</v>
      </c>
      <c r="W25" s="155">
        <v>0</v>
      </c>
      <c r="X25" s="155">
        <v>2</v>
      </c>
      <c r="Y25" s="155">
        <v>0</v>
      </c>
      <c r="Z25" s="155"/>
      <c r="AA25" s="157">
        <f t="shared" si="4"/>
        <v>2</v>
      </c>
      <c r="AB25" s="152">
        <v>1</v>
      </c>
      <c r="AC25" s="152"/>
      <c r="AD25" s="152"/>
      <c r="AE25" s="155"/>
      <c r="AF25" s="157">
        <f t="shared" si="5"/>
        <v>1</v>
      </c>
      <c r="AG25" s="152">
        <v>3</v>
      </c>
      <c r="AH25" s="152"/>
      <c r="AI25" s="152"/>
      <c r="AJ25" s="155"/>
      <c r="AK25" s="157">
        <f t="shared" si="6"/>
        <v>3</v>
      </c>
      <c r="AL25" s="152">
        <v>1</v>
      </c>
      <c r="AM25" s="152"/>
      <c r="AN25" s="152"/>
      <c r="AO25" s="155"/>
      <c r="AP25" s="157">
        <f t="shared" si="7"/>
        <v>1</v>
      </c>
      <c r="AQ25" s="152"/>
      <c r="AR25" s="152"/>
      <c r="AS25" s="152">
        <v>3</v>
      </c>
      <c r="AT25" s="155"/>
      <c r="AU25" s="157">
        <f t="shared" si="8"/>
        <v>3</v>
      </c>
      <c r="AV25" s="152"/>
      <c r="AW25" s="152"/>
      <c r="AX25" s="152"/>
      <c r="AY25" s="155"/>
      <c r="AZ25" s="157">
        <f t="shared" si="9"/>
        <v>0</v>
      </c>
      <c r="BA25" s="152"/>
      <c r="BB25" s="152"/>
      <c r="BC25" s="152"/>
      <c r="BD25" s="155"/>
      <c r="BE25" s="157">
        <f t="shared" si="10"/>
        <v>0</v>
      </c>
      <c r="BF25" s="152"/>
      <c r="BG25" s="152"/>
      <c r="BH25" s="152"/>
      <c r="BI25" s="155"/>
      <c r="BJ25" s="157">
        <f t="shared" si="11"/>
        <v>0</v>
      </c>
      <c r="BK25" s="156">
        <v>14</v>
      </c>
      <c r="BL25" s="155">
        <f t="shared" si="12"/>
        <v>12</v>
      </c>
      <c r="BM25" s="154">
        <f t="shared" si="13"/>
        <v>2</v>
      </c>
      <c r="BN25" s="173">
        <v>10</v>
      </c>
      <c r="BO25" s="155">
        <f t="shared" si="14"/>
        <v>3</v>
      </c>
      <c r="BP25" s="154">
        <f t="shared" si="15"/>
        <v>7</v>
      </c>
      <c r="BQ25" s="153">
        <f t="shared" si="16"/>
        <v>1</v>
      </c>
      <c r="BR25" s="153"/>
      <c r="BS25" s="152">
        <f t="shared" si="17"/>
        <v>6</v>
      </c>
      <c r="BT25" s="152">
        <f t="shared" si="18"/>
        <v>6</v>
      </c>
      <c r="BU25" s="152">
        <f t="shared" si="19"/>
        <v>3</v>
      </c>
      <c r="BV25" s="152">
        <f t="shared" si="20"/>
        <v>1</v>
      </c>
      <c r="BX25" s="151"/>
    </row>
    <row r="26" spans="1:76" ht="15.6" x14ac:dyDescent="0.3">
      <c r="A26" s="162">
        <v>119</v>
      </c>
      <c r="B26" s="161" t="s">
        <v>158</v>
      </c>
      <c r="C26" s="155">
        <v>0</v>
      </c>
      <c r="D26" s="155">
        <v>3</v>
      </c>
      <c r="E26" s="155">
        <v>0</v>
      </c>
      <c r="F26" s="174"/>
      <c r="G26" s="157">
        <f t="shared" si="0"/>
        <v>3</v>
      </c>
      <c r="H26" s="155">
        <v>1</v>
      </c>
      <c r="I26" s="155">
        <v>0</v>
      </c>
      <c r="J26" s="155">
        <v>0</v>
      </c>
      <c r="K26" s="174"/>
      <c r="L26" s="157">
        <f t="shared" si="1"/>
        <v>1</v>
      </c>
      <c r="M26" s="155">
        <v>1</v>
      </c>
      <c r="N26" s="155">
        <v>0</v>
      </c>
      <c r="O26" s="155">
        <v>0</v>
      </c>
      <c r="P26" s="155"/>
      <c r="Q26" s="157">
        <f t="shared" si="2"/>
        <v>1</v>
      </c>
      <c r="R26" s="155">
        <v>2</v>
      </c>
      <c r="S26" s="155">
        <v>2</v>
      </c>
      <c r="T26" s="155">
        <v>0</v>
      </c>
      <c r="U26" s="175">
        <v>2</v>
      </c>
      <c r="V26" s="157">
        <f t="shared" si="3"/>
        <v>2</v>
      </c>
      <c r="W26" s="155"/>
      <c r="X26" s="155">
        <v>0</v>
      </c>
      <c r="Y26" s="155">
        <v>4</v>
      </c>
      <c r="Z26" s="155"/>
      <c r="AA26" s="157">
        <f t="shared" si="4"/>
        <v>4</v>
      </c>
      <c r="AB26" s="152">
        <v>1</v>
      </c>
      <c r="AC26" s="152"/>
      <c r="AD26" s="152"/>
      <c r="AE26" s="155"/>
      <c r="AF26" s="157">
        <f t="shared" si="5"/>
        <v>1</v>
      </c>
      <c r="AG26" s="152">
        <v>1</v>
      </c>
      <c r="AH26" s="152"/>
      <c r="AI26" s="152"/>
      <c r="AJ26" s="155"/>
      <c r="AK26" s="157">
        <f t="shared" si="6"/>
        <v>1</v>
      </c>
      <c r="AL26" s="152">
        <v>2</v>
      </c>
      <c r="AM26" s="152"/>
      <c r="AN26" s="152"/>
      <c r="AO26" s="155"/>
      <c r="AP26" s="157">
        <f t="shared" si="7"/>
        <v>2</v>
      </c>
      <c r="AQ26" s="152"/>
      <c r="AR26" s="152"/>
      <c r="AS26" s="152"/>
      <c r="AT26" s="155"/>
      <c r="AU26" s="157">
        <f t="shared" si="8"/>
        <v>0</v>
      </c>
      <c r="AV26" s="152"/>
      <c r="AW26" s="152"/>
      <c r="AX26" s="152"/>
      <c r="AY26" s="155"/>
      <c r="AZ26" s="157">
        <f t="shared" si="9"/>
        <v>0</v>
      </c>
      <c r="BA26" s="152"/>
      <c r="BB26" s="152"/>
      <c r="BC26" s="152"/>
      <c r="BD26" s="155"/>
      <c r="BE26" s="157">
        <f t="shared" si="10"/>
        <v>0</v>
      </c>
      <c r="BF26" s="152"/>
      <c r="BG26" s="152"/>
      <c r="BH26" s="152"/>
      <c r="BI26" s="155"/>
      <c r="BJ26" s="157">
        <f t="shared" si="11"/>
        <v>0</v>
      </c>
      <c r="BK26" s="156">
        <v>14</v>
      </c>
      <c r="BL26" s="155">
        <f t="shared" si="12"/>
        <v>13</v>
      </c>
      <c r="BM26" s="154">
        <f t="shared" si="13"/>
        <v>1</v>
      </c>
      <c r="BN26" s="173">
        <v>10</v>
      </c>
      <c r="BO26" s="155">
        <f t="shared" si="14"/>
        <v>4</v>
      </c>
      <c r="BP26" s="154">
        <f t="shared" si="15"/>
        <v>6</v>
      </c>
      <c r="BQ26" s="153">
        <f t="shared" si="16"/>
        <v>2</v>
      </c>
      <c r="BR26" s="153"/>
      <c r="BS26" s="152">
        <f t="shared" si="17"/>
        <v>8</v>
      </c>
      <c r="BT26" s="152">
        <f t="shared" si="18"/>
        <v>5</v>
      </c>
      <c r="BU26" s="152">
        <f t="shared" si="19"/>
        <v>4</v>
      </c>
      <c r="BV26" s="152">
        <f t="shared" si="20"/>
        <v>2</v>
      </c>
      <c r="BX26" s="151"/>
    </row>
    <row r="27" spans="1:76" ht="15.6" x14ac:dyDescent="0.3">
      <c r="A27" s="162">
        <v>130</v>
      </c>
      <c r="B27" s="161" t="s">
        <v>163</v>
      </c>
      <c r="C27" s="155">
        <v>0</v>
      </c>
      <c r="D27" s="155">
        <v>0</v>
      </c>
      <c r="E27" s="155">
        <v>0</v>
      </c>
      <c r="F27" s="174"/>
      <c r="G27" s="157">
        <f t="shared" si="0"/>
        <v>0</v>
      </c>
      <c r="H27" s="155">
        <v>1</v>
      </c>
      <c r="I27" s="155">
        <v>0</v>
      </c>
      <c r="J27" s="155">
        <v>0</v>
      </c>
      <c r="K27" s="174"/>
      <c r="L27" s="157">
        <f t="shared" si="1"/>
        <v>1</v>
      </c>
      <c r="M27" s="155">
        <v>0</v>
      </c>
      <c r="N27" s="155">
        <v>0</v>
      </c>
      <c r="O27" s="155">
        <v>0</v>
      </c>
      <c r="P27" s="155"/>
      <c r="Q27" s="157">
        <f t="shared" si="2"/>
        <v>0</v>
      </c>
      <c r="R27" s="155">
        <v>0</v>
      </c>
      <c r="S27" s="155">
        <v>4</v>
      </c>
      <c r="T27" s="155">
        <v>0</v>
      </c>
      <c r="U27" s="175">
        <v>4</v>
      </c>
      <c r="V27" s="157">
        <f t="shared" si="3"/>
        <v>0</v>
      </c>
      <c r="W27" s="155">
        <v>1</v>
      </c>
      <c r="X27" s="155">
        <v>0</v>
      </c>
      <c r="Y27" s="155">
        <v>0</v>
      </c>
      <c r="Z27" s="155"/>
      <c r="AA27" s="157">
        <f t="shared" si="4"/>
        <v>1</v>
      </c>
      <c r="AB27" s="152"/>
      <c r="AC27" s="152"/>
      <c r="AD27" s="152"/>
      <c r="AE27" s="155"/>
      <c r="AF27" s="157">
        <f t="shared" si="5"/>
        <v>0</v>
      </c>
      <c r="AG27" s="152">
        <v>2</v>
      </c>
      <c r="AH27" s="152"/>
      <c r="AI27" s="152"/>
      <c r="AJ27" s="155"/>
      <c r="AK27" s="157">
        <f t="shared" si="6"/>
        <v>2</v>
      </c>
      <c r="AL27" s="152">
        <v>1</v>
      </c>
      <c r="AM27" s="152"/>
      <c r="AN27" s="152"/>
      <c r="AO27" s="155"/>
      <c r="AP27" s="157">
        <f t="shared" si="7"/>
        <v>1</v>
      </c>
      <c r="AQ27" s="152"/>
      <c r="AR27" s="152"/>
      <c r="AS27" s="152"/>
      <c r="AT27" s="155"/>
      <c r="AU27" s="157">
        <f t="shared" si="8"/>
        <v>0</v>
      </c>
      <c r="AV27" s="152"/>
      <c r="AW27" s="152"/>
      <c r="AX27" s="152"/>
      <c r="AY27" s="155"/>
      <c r="AZ27" s="157">
        <f t="shared" si="9"/>
        <v>0</v>
      </c>
      <c r="BA27" s="152"/>
      <c r="BB27" s="152"/>
      <c r="BC27" s="152"/>
      <c r="BD27" s="155"/>
      <c r="BE27" s="157">
        <f t="shared" si="10"/>
        <v>0</v>
      </c>
      <c r="BF27" s="152"/>
      <c r="BG27" s="152"/>
      <c r="BH27" s="152"/>
      <c r="BI27" s="155"/>
      <c r="BJ27" s="157">
        <f t="shared" si="11"/>
        <v>0</v>
      </c>
      <c r="BK27" s="156">
        <v>14</v>
      </c>
      <c r="BL27" s="155">
        <f t="shared" si="12"/>
        <v>9</v>
      </c>
      <c r="BM27" s="154">
        <f t="shared" si="13"/>
        <v>5</v>
      </c>
      <c r="BN27" s="173">
        <v>10</v>
      </c>
      <c r="BO27" s="155">
        <f t="shared" si="14"/>
        <v>0</v>
      </c>
      <c r="BP27" s="154">
        <f t="shared" si="15"/>
        <v>10</v>
      </c>
      <c r="BQ27" s="153">
        <f t="shared" si="16"/>
        <v>4</v>
      </c>
      <c r="BR27" s="153"/>
      <c r="BS27" s="152">
        <f t="shared" si="17"/>
        <v>5</v>
      </c>
      <c r="BT27" s="152">
        <f t="shared" si="18"/>
        <v>4</v>
      </c>
      <c r="BU27" s="152">
        <f t="shared" si="19"/>
        <v>0</v>
      </c>
      <c r="BV27" s="152">
        <f t="shared" si="20"/>
        <v>4</v>
      </c>
      <c r="BX27" s="151"/>
    </row>
    <row r="28" spans="1:76" ht="15.6" x14ac:dyDescent="0.3">
      <c r="A28" s="162">
        <v>133</v>
      </c>
      <c r="B28" s="161" t="s">
        <v>164</v>
      </c>
      <c r="C28" s="155">
        <v>1</v>
      </c>
      <c r="D28" s="155">
        <v>0</v>
      </c>
      <c r="E28" s="155">
        <v>0</v>
      </c>
      <c r="F28" s="174"/>
      <c r="G28" s="157">
        <f t="shared" si="0"/>
        <v>1</v>
      </c>
      <c r="H28" s="155">
        <v>0</v>
      </c>
      <c r="I28" s="155">
        <v>0</v>
      </c>
      <c r="J28" s="155">
        <v>0</v>
      </c>
      <c r="K28" s="174"/>
      <c r="L28" s="157">
        <f t="shared" si="1"/>
        <v>0</v>
      </c>
      <c r="M28" s="155">
        <v>1</v>
      </c>
      <c r="N28" s="155">
        <v>0</v>
      </c>
      <c r="O28" s="155">
        <v>0</v>
      </c>
      <c r="P28" s="155"/>
      <c r="Q28" s="157">
        <f t="shared" si="2"/>
        <v>1</v>
      </c>
      <c r="R28" s="155">
        <v>0</v>
      </c>
      <c r="S28" s="155">
        <v>0</v>
      </c>
      <c r="T28" s="155">
        <v>0</v>
      </c>
      <c r="U28" s="155"/>
      <c r="V28" s="157">
        <f t="shared" si="3"/>
        <v>0</v>
      </c>
      <c r="W28" s="155">
        <v>1</v>
      </c>
      <c r="X28" s="155">
        <v>1</v>
      </c>
      <c r="Y28" s="155">
        <v>0</v>
      </c>
      <c r="Z28" s="155"/>
      <c r="AA28" s="157">
        <f t="shared" si="4"/>
        <v>2</v>
      </c>
      <c r="AB28" s="152"/>
      <c r="AC28" s="152"/>
      <c r="AD28" s="152"/>
      <c r="AE28" s="155"/>
      <c r="AF28" s="157">
        <f t="shared" si="5"/>
        <v>0</v>
      </c>
      <c r="AG28" s="152">
        <v>2</v>
      </c>
      <c r="AH28" s="152"/>
      <c r="AI28" s="152"/>
      <c r="AJ28" s="155"/>
      <c r="AK28" s="157">
        <f t="shared" si="6"/>
        <v>2</v>
      </c>
      <c r="AL28" s="152">
        <v>0</v>
      </c>
      <c r="AM28" s="152"/>
      <c r="AN28" s="152"/>
      <c r="AO28" s="155"/>
      <c r="AP28" s="157">
        <f t="shared" si="7"/>
        <v>0</v>
      </c>
      <c r="AQ28" s="152"/>
      <c r="AR28" s="152">
        <v>1</v>
      </c>
      <c r="AS28" s="152"/>
      <c r="AT28" s="155"/>
      <c r="AU28" s="157">
        <f t="shared" si="8"/>
        <v>1</v>
      </c>
      <c r="AV28" s="152"/>
      <c r="AW28" s="152"/>
      <c r="AX28" s="152"/>
      <c r="AY28" s="155"/>
      <c r="AZ28" s="157">
        <f t="shared" si="9"/>
        <v>0</v>
      </c>
      <c r="BA28" s="152"/>
      <c r="BB28" s="152"/>
      <c r="BC28" s="152"/>
      <c r="BD28" s="155"/>
      <c r="BE28" s="157">
        <f t="shared" si="10"/>
        <v>0</v>
      </c>
      <c r="BF28" s="152"/>
      <c r="BG28" s="152"/>
      <c r="BH28" s="152"/>
      <c r="BI28" s="155"/>
      <c r="BJ28" s="157">
        <f t="shared" si="11"/>
        <v>0</v>
      </c>
      <c r="BK28" s="156">
        <v>14</v>
      </c>
      <c r="BL28" s="155">
        <f t="shared" si="12"/>
        <v>7</v>
      </c>
      <c r="BM28" s="154">
        <f t="shared" si="13"/>
        <v>7</v>
      </c>
      <c r="BN28" s="173">
        <v>10</v>
      </c>
      <c r="BO28" s="155">
        <f t="shared" si="14"/>
        <v>0</v>
      </c>
      <c r="BP28" s="154">
        <f t="shared" si="15"/>
        <v>10</v>
      </c>
      <c r="BQ28" s="153">
        <f t="shared" si="16"/>
        <v>0</v>
      </c>
      <c r="BR28" s="153"/>
      <c r="BS28" s="152">
        <f t="shared" si="17"/>
        <v>5</v>
      </c>
      <c r="BT28" s="152">
        <f t="shared" si="18"/>
        <v>2</v>
      </c>
      <c r="BU28" s="152">
        <f t="shared" si="19"/>
        <v>0</v>
      </c>
      <c r="BV28" s="152">
        <f t="shared" si="20"/>
        <v>0</v>
      </c>
      <c r="BX28" s="151"/>
    </row>
    <row r="29" spans="1:76" ht="15.6" x14ac:dyDescent="0.3">
      <c r="A29" s="162">
        <v>139</v>
      </c>
      <c r="B29" s="161" t="s">
        <v>168</v>
      </c>
      <c r="C29" s="155">
        <v>0</v>
      </c>
      <c r="D29" s="155">
        <v>0</v>
      </c>
      <c r="E29" s="155">
        <v>0</v>
      </c>
      <c r="F29" s="174"/>
      <c r="G29" s="157">
        <f t="shared" si="0"/>
        <v>0</v>
      </c>
      <c r="H29" s="155">
        <v>0</v>
      </c>
      <c r="I29" s="155">
        <v>0</v>
      </c>
      <c r="J29" s="155">
        <v>0</v>
      </c>
      <c r="K29" s="174"/>
      <c r="L29" s="157">
        <f t="shared" si="1"/>
        <v>0</v>
      </c>
      <c r="M29" s="155">
        <v>0</v>
      </c>
      <c r="N29" s="155">
        <v>0</v>
      </c>
      <c r="O29" s="155">
        <v>0</v>
      </c>
      <c r="P29" s="155"/>
      <c r="Q29" s="157">
        <f t="shared" si="2"/>
        <v>0</v>
      </c>
      <c r="R29" s="155">
        <v>0</v>
      </c>
      <c r="S29" s="155">
        <v>0</v>
      </c>
      <c r="T29" s="155">
        <v>0</v>
      </c>
      <c r="U29" s="155"/>
      <c r="V29" s="157">
        <f t="shared" si="3"/>
        <v>0</v>
      </c>
      <c r="W29" s="155">
        <v>5</v>
      </c>
      <c r="X29" s="155">
        <v>0</v>
      </c>
      <c r="Y29" s="155">
        <v>0</v>
      </c>
      <c r="Z29" s="155"/>
      <c r="AA29" s="157">
        <f t="shared" si="4"/>
        <v>5</v>
      </c>
      <c r="AB29" s="152"/>
      <c r="AC29" s="152"/>
      <c r="AD29" s="152"/>
      <c r="AE29" s="155"/>
      <c r="AF29" s="157">
        <f t="shared" si="5"/>
        <v>0</v>
      </c>
      <c r="AG29" s="152"/>
      <c r="AH29" s="152"/>
      <c r="AI29" s="152"/>
      <c r="AJ29" s="155"/>
      <c r="AK29" s="157">
        <f t="shared" si="6"/>
        <v>0</v>
      </c>
      <c r="AL29" s="152">
        <v>0</v>
      </c>
      <c r="AM29" s="152"/>
      <c r="AN29" s="152"/>
      <c r="AO29" s="155"/>
      <c r="AP29" s="157">
        <f t="shared" si="7"/>
        <v>0</v>
      </c>
      <c r="AQ29" s="152"/>
      <c r="AR29" s="152"/>
      <c r="AS29" s="152"/>
      <c r="AT29" s="155"/>
      <c r="AU29" s="157">
        <f t="shared" si="8"/>
        <v>0</v>
      </c>
      <c r="AV29" s="152"/>
      <c r="AW29" s="152"/>
      <c r="AX29" s="152"/>
      <c r="AY29" s="155"/>
      <c r="AZ29" s="157">
        <f t="shared" si="9"/>
        <v>0</v>
      </c>
      <c r="BA29" s="152"/>
      <c r="BB29" s="152"/>
      <c r="BC29" s="152"/>
      <c r="BD29" s="155"/>
      <c r="BE29" s="157">
        <f t="shared" si="10"/>
        <v>0</v>
      </c>
      <c r="BF29" s="152"/>
      <c r="BG29" s="152"/>
      <c r="BH29" s="152"/>
      <c r="BI29" s="155"/>
      <c r="BJ29" s="157">
        <f t="shared" si="11"/>
        <v>0</v>
      </c>
      <c r="BK29" s="156">
        <v>14</v>
      </c>
      <c r="BL29" s="155">
        <f t="shared" si="12"/>
        <v>5</v>
      </c>
      <c r="BM29" s="154">
        <f t="shared" si="13"/>
        <v>9</v>
      </c>
      <c r="BN29" s="173">
        <v>10</v>
      </c>
      <c r="BO29" s="155">
        <f t="shared" si="14"/>
        <v>0</v>
      </c>
      <c r="BP29" s="154">
        <f t="shared" si="15"/>
        <v>10</v>
      </c>
      <c r="BQ29" s="153">
        <f t="shared" si="16"/>
        <v>0</v>
      </c>
      <c r="BR29" s="153"/>
      <c r="BS29" s="152">
        <f t="shared" si="17"/>
        <v>5</v>
      </c>
      <c r="BT29" s="152">
        <f t="shared" si="18"/>
        <v>0</v>
      </c>
      <c r="BU29" s="152">
        <f t="shared" si="19"/>
        <v>0</v>
      </c>
      <c r="BV29" s="152">
        <f t="shared" si="20"/>
        <v>0</v>
      </c>
      <c r="BX29" s="151"/>
    </row>
    <row r="30" spans="1:76" ht="15.6" x14ac:dyDescent="0.3">
      <c r="A30" s="162">
        <v>146</v>
      </c>
      <c r="B30" s="161" t="s">
        <v>177</v>
      </c>
      <c r="C30" s="159">
        <v>0</v>
      </c>
      <c r="D30" s="159">
        <v>0</v>
      </c>
      <c r="E30" s="159">
        <v>0</v>
      </c>
      <c r="F30" s="160"/>
      <c r="G30" s="159">
        <f t="shared" si="0"/>
        <v>0</v>
      </c>
      <c r="H30" s="159">
        <v>0</v>
      </c>
      <c r="I30" s="159">
        <v>0</v>
      </c>
      <c r="J30" s="159">
        <v>0</v>
      </c>
      <c r="K30" s="160"/>
      <c r="L30" s="159">
        <f t="shared" si="1"/>
        <v>0</v>
      </c>
      <c r="M30" s="159">
        <v>0</v>
      </c>
      <c r="N30" s="159">
        <v>0</v>
      </c>
      <c r="O30" s="159">
        <v>0</v>
      </c>
      <c r="P30" s="159"/>
      <c r="Q30" s="159">
        <f t="shared" si="2"/>
        <v>0</v>
      </c>
      <c r="R30" s="159">
        <v>0</v>
      </c>
      <c r="S30" s="159">
        <v>0</v>
      </c>
      <c r="T30" s="159">
        <v>0</v>
      </c>
      <c r="U30" s="159"/>
      <c r="V30" s="159">
        <f t="shared" si="3"/>
        <v>0</v>
      </c>
      <c r="W30" s="159">
        <v>0</v>
      </c>
      <c r="X30" s="159">
        <v>0</v>
      </c>
      <c r="Y30" s="159">
        <v>0</v>
      </c>
      <c r="Z30" s="159"/>
      <c r="AA30" s="159">
        <f t="shared" si="4"/>
        <v>0</v>
      </c>
      <c r="AB30" s="158"/>
      <c r="AC30" s="158"/>
      <c r="AD30" s="158"/>
      <c r="AE30" s="159"/>
      <c r="AF30" s="159">
        <f t="shared" si="5"/>
        <v>0</v>
      </c>
      <c r="AG30" s="152">
        <v>1</v>
      </c>
      <c r="AH30" s="152"/>
      <c r="AI30" s="152"/>
      <c r="AJ30" s="155"/>
      <c r="AK30" s="157">
        <f t="shared" si="6"/>
        <v>1</v>
      </c>
      <c r="AL30" s="152">
        <v>0</v>
      </c>
      <c r="AM30" s="152"/>
      <c r="AN30" s="152"/>
      <c r="AO30" s="155"/>
      <c r="AP30" s="157">
        <f t="shared" si="7"/>
        <v>0</v>
      </c>
      <c r="AQ30" s="152"/>
      <c r="AR30" s="152"/>
      <c r="AS30" s="152"/>
      <c r="AT30" s="155"/>
      <c r="AU30" s="157">
        <f t="shared" si="8"/>
        <v>0</v>
      </c>
      <c r="AV30" s="152"/>
      <c r="AW30" s="152"/>
      <c r="AX30" s="152"/>
      <c r="AY30" s="155"/>
      <c r="AZ30" s="157">
        <f t="shared" si="9"/>
        <v>0</v>
      </c>
      <c r="BA30" s="152"/>
      <c r="BB30" s="152"/>
      <c r="BC30" s="152"/>
      <c r="BD30" s="155"/>
      <c r="BE30" s="157">
        <f t="shared" si="10"/>
        <v>0</v>
      </c>
      <c r="BF30" s="152"/>
      <c r="BG30" s="152"/>
      <c r="BH30" s="152"/>
      <c r="BI30" s="155"/>
      <c r="BJ30" s="157">
        <f t="shared" si="11"/>
        <v>0</v>
      </c>
      <c r="BK30" s="156">
        <v>14</v>
      </c>
      <c r="BL30" s="155">
        <f t="shared" si="12"/>
        <v>1</v>
      </c>
      <c r="BM30" s="154">
        <f t="shared" si="13"/>
        <v>13</v>
      </c>
      <c r="BN30" s="173">
        <v>10</v>
      </c>
      <c r="BO30" s="155">
        <f t="shared" si="14"/>
        <v>0</v>
      </c>
      <c r="BP30" s="154">
        <f t="shared" si="15"/>
        <v>10</v>
      </c>
      <c r="BQ30" s="153">
        <f t="shared" si="16"/>
        <v>0</v>
      </c>
      <c r="BR30" s="153"/>
      <c r="BS30" s="152">
        <f t="shared" si="17"/>
        <v>1</v>
      </c>
      <c r="BT30" s="152">
        <f t="shared" si="18"/>
        <v>0</v>
      </c>
      <c r="BU30" s="152">
        <f t="shared" si="19"/>
        <v>0</v>
      </c>
      <c r="BV30" s="152">
        <f t="shared" si="20"/>
        <v>0</v>
      </c>
      <c r="BX30" s="151"/>
    </row>
    <row r="31" spans="1:76" ht="15.6" x14ac:dyDescent="0.3">
      <c r="A31" s="162">
        <v>147</v>
      </c>
      <c r="B31" s="161" t="s">
        <v>178</v>
      </c>
      <c r="C31" s="159">
        <v>0</v>
      </c>
      <c r="D31" s="159">
        <v>0</v>
      </c>
      <c r="E31" s="159">
        <v>0</v>
      </c>
      <c r="F31" s="160"/>
      <c r="G31" s="159">
        <f t="shared" si="0"/>
        <v>0</v>
      </c>
      <c r="H31" s="159">
        <v>0</v>
      </c>
      <c r="I31" s="159">
        <v>0</v>
      </c>
      <c r="J31" s="159">
        <v>0</v>
      </c>
      <c r="K31" s="160"/>
      <c r="L31" s="159">
        <f t="shared" si="1"/>
        <v>0</v>
      </c>
      <c r="M31" s="159">
        <v>0</v>
      </c>
      <c r="N31" s="159">
        <v>0</v>
      </c>
      <c r="O31" s="159">
        <v>0</v>
      </c>
      <c r="P31" s="159"/>
      <c r="Q31" s="159">
        <f t="shared" si="2"/>
        <v>0</v>
      </c>
      <c r="R31" s="159">
        <v>0</v>
      </c>
      <c r="S31" s="159">
        <v>0</v>
      </c>
      <c r="T31" s="159">
        <v>0</v>
      </c>
      <c r="U31" s="159"/>
      <c r="V31" s="159">
        <f t="shared" si="3"/>
        <v>0</v>
      </c>
      <c r="W31" s="159">
        <v>0</v>
      </c>
      <c r="X31" s="159">
        <v>0</v>
      </c>
      <c r="Y31" s="159">
        <v>0</v>
      </c>
      <c r="Z31" s="159"/>
      <c r="AA31" s="159">
        <f t="shared" si="4"/>
        <v>0</v>
      </c>
      <c r="AB31" s="158"/>
      <c r="AC31" s="158"/>
      <c r="AD31" s="158"/>
      <c r="AE31" s="159"/>
      <c r="AF31" s="159">
        <f t="shared" si="5"/>
        <v>0</v>
      </c>
      <c r="AG31" s="152">
        <v>4</v>
      </c>
      <c r="AH31" s="152"/>
      <c r="AI31" s="152"/>
      <c r="AJ31" s="155"/>
      <c r="AK31" s="157">
        <f t="shared" si="6"/>
        <v>4</v>
      </c>
      <c r="AL31" s="152">
        <v>3</v>
      </c>
      <c r="AM31" s="152"/>
      <c r="AN31" s="152"/>
      <c r="AO31" s="155">
        <v>9</v>
      </c>
      <c r="AP31" s="157">
        <f t="shared" si="7"/>
        <v>12</v>
      </c>
      <c r="AQ31" s="152"/>
      <c r="AR31" s="152"/>
      <c r="AS31" s="152">
        <v>2</v>
      </c>
      <c r="AT31" s="155">
        <v>2</v>
      </c>
      <c r="AU31" s="157">
        <f t="shared" si="8"/>
        <v>2</v>
      </c>
      <c r="AV31" s="152"/>
      <c r="AW31" s="152"/>
      <c r="AX31" s="152"/>
      <c r="AY31" s="155"/>
      <c r="AZ31" s="157">
        <f t="shared" si="9"/>
        <v>0</v>
      </c>
      <c r="BA31" s="152"/>
      <c r="BB31" s="152"/>
      <c r="BC31" s="152"/>
      <c r="BD31" s="155"/>
      <c r="BE31" s="157">
        <f t="shared" si="10"/>
        <v>0</v>
      </c>
      <c r="BF31" s="152"/>
      <c r="BG31" s="152"/>
      <c r="BH31" s="152"/>
      <c r="BI31" s="155"/>
      <c r="BJ31" s="157">
        <f t="shared" si="11"/>
        <v>0</v>
      </c>
      <c r="BK31" s="156">
        <f>ROUND(14/12*6,0)</f>
        <v>7</v>
      </c>
      <c r="BL31" s="155">
        <f t="shared" si="12"/>
        <v>7</v>
      </c>
      <c r="BM31" s="154">
        <f t="shared" si="13"/>
        <v>0</v>
      </c>
      <c r="BN31" s="156">
        <f>ROUND(10/12*6,0)</f>
        <v>5</v>
      </c>
      <c r="BO31" s="172">
        <f t="shared" si="14"/>
        <v>2</v>
      </c>
      <c r="BP31" s="153">
        <f t="shared" si="15"/>
        <v>3</v>
      </c>
      <c r="BQ31" s="153">
        <f t="shared" si="16"/>
        <v>11</v>
      </c>
      <c r="BR31" s="153"/>
      <c r="BS31" s="152">
        <f t="shared" si="17"/>
        <v>7</v>
      </c>
      <c r="BT31" s="152">
        <f t="shared" si="18"/>
        <v>0</v>
      </c>
      <c r="BU31" s="152">
        <f t="shared" si="19"/>
        <v>2</v>
      </c>
      <c r="BV31" s="152">
        <f t="shared" si="20"/>
        <v>11</v>
      </c>
      <c r="BX31" s="151"/>
    </row>
    <row r="32" spans="1:76" ht="15.6" x14ac:dyDescent="0.3">
      <c r="A32" s="162">
        <v>150</v>
      </c>
      <c r="B32" s="161" t="s">
        <v>197</v>
      </c>
      <c r="C32" s="159">
        <v>0</v>
      </c>
      <c r="D32" s="159">
        <v>0</v>
      </c>
      <c r="E32" s="159">
        <v>0</v>
      </c>
      <c r="F32" s="160"/>
      <c r="G32" s="159">
        <f t="shared" si="0"/>
        <v>0</v>
      </c>
      <c r="H32" s="159">
        <v>0</v>
      </c>
      <c r="I32" s="159">
        <v>0</v>
      </c>
      <c r="J32" s="159">
        <v>0</v>
      </c>
      <c r="K32" s="160"/>
      <c r="L32" s="159">
        <f t="shared" si="1"/>
        <v>0</v>
      </c>
      <c r="M32" s="159">
        <v>0</v>
      </c>
      <c r="N32" s="159">
        <v>0</v>
      </c>
      <c r="O32" s="159">
        <v>0</v>
      </c>
      <c r="P32" s="159"/>
      <c r="Q32" s="159">
        <f t="shared" si="2"/>
        <v>0</v>
      </c>
      <c r="R32" s="159">
        <v>0</v>
      </c>
      <c r="S32" s="159">
        <v>0</v>
      </c>
      <c r="T32" s="159">
        <v>0</v>
      </c>
      <c r="U32" s="159"/>
      <c r="V32" s="159">
        <f t="shared" si="3"/>
        <v>0</v>
      </c>
      <c r="W32" s="159">
        <v>0</v>
      </c>
      <c r="X32" s="159">
        <v>0</v>
      </c>
      <c r="Y32" s="159">
        <v>0</v>
      </c>
      <c r="Z32" s="159"/>
      <c r="AA32" s="159">
        <f t="shared" si="4"/>
        <v>0</v>
      </c>
      <c r="AB32" s="158"/>
      <c r="AC32" s="158"/>
      <c r="AD32" s="158"/>
      <c r="AE32" s="159"/>
      <c r="AF32" s="159">
        <f t="shared" si="5"/>
        <v>0</v>
      </c>
      <c r="AG32" s="152">
        <v>1</v>
      </c>
      <c r="AH32" s="152"/>
      <c r="AI32" s="152"/>
      <c r="AJ32" s="155"/>
      <c r="AK32" s="157">
        <f t="shared" si="6"/>
        <v>1</v>
      </c>
      <c r="AL32" s="152">
        <v>0</v>
      </c>
      <c r="AM32" s="152"/>
      <c r="AN32" s="152"/>
      <c r="AO32" s="155"/>
      <c r="AP32" s="157">
        <f t="shared" si="7"/>
        <v>0</v>
      </c>
      <c r="AQ32" s="152"/>
      <c r="AR32" s="152">
        <v>1</v>
      </c>
      <c r="AS32" s="152"/>
      <c r="AT32" s="155"/>
      <c r="AU32" s="157">
        <f t="shared" si="8"/>
        <v>1</v>
      </c>
      <c r="AV32" s="152"/>
      <c r="AW32" s="152"/>
      <c r="AX32" s="152"/>
      <c r="AY32" s="155"/>
      <c r="AZ32" s="157">
        <f t="shared" si="9"/>
        <v>0</v>
      </c>
      <c r="BA32" s="152"/>
      <c r="BB32" s="152"/>
      <c r="BC32" s="152"/>
      <c r="BD32" s="155"/>
      <c r="BE32" s="157">
        <f t="shared" si="10"/>
        <v>0</v>
      </c>
      <c r="BF32" s="152"/>
      <c r="BG32" s="152"/>
      <c r="BH32" s="152"/>
      <c r="BI32" s="155"/>
      <c r="BJ32" s="157">
        <f t="shared" si="11"/>
        <v>0</v>
      </c>
      <c r="BK32" s="156">
        <f>ROUND(14/12*6,0)</f>
        <v>7</v>
      </c>
      <c r="BL32" s="155">
        <f t="shared" si="12"/>
        <v>2</v>
      </c>
      <c r="BM32" s="154">
        <f t="shared" si="13"/>
        <v>5</v>
      </c>
      <c r="BN32" s="156">
        <f>ROUND(10/12*6,0)</f>
        <v>5</v>
      </c>
      <c r="BO32" s="172">
        <f t="shared" si="14"/>
        <v>0</v>
      </c>
      <c r="BP32" s="153">
        <f t="shared" si="15"/>
        <v>5</v>
      </c>
      <c r="BQ32" s="153">
        <f t="shared" si="16"/>
        <v>0</v>
      </c>
      <c r="BR32" s="153"/>
      <c r="BS32" s="152">
        <f t="shared" si="17"/>
        <v>1</v>
      </c>
      <c r="BT32" s="152">
        <f t="shared" si="18"/>
        <v>1</v>
      </c>
      <c r="BU32" s="152">
        <f t="shared" si="19"/>
        <v>0</v>
      </c>
      <c r="BV32" s="152">
        <f t="shared" si="20"/>
        <v>0</v>
      </c>
      <c r="BX32" s="151"/>
    </row>
    <row r="33" spans="1:76" ht="15.6" x14ac:dyDescent="0.3">
      <c r="A33" s="162">
        <v>152</v>
      </c>
      <c r="B33" s="161" t="s">
        <v>198</v>
      </c>
      <c r="C33" s="159">
        <v>0</v>
      </c>
      <c r="D33" s="159">
        <v>0</v>
      </c>
      <c r="E33" s="159">
        <v>0</v>
      </c>
      <c r="F33" s="160"/>
      <c r="G33" s="159">
        <f t="shared" si="0"/>
        <v>0</v>
      </c>
      <c r="H33" s="159">
        <v>0</v>
      </c>
      <c r="I33" s="159">
        <v>0</v>
      </c>
      <c r="J33" s="159">
        <v>0</v>
      </c>
      <c r="K33" s="160"/>
      <c r="L33" s="159">
        <f t="shared" si="1"/>
        <v>0</v>
      </c>
      <c r="M33" s="159">
        <v>0</v>
      </c>
      <c r="N33" s="159">
        <v>0</v>
      </c>
      <c r="O33" s="159">
        <v>0</v>
      </c>
      <c r="P33" s="159"/>
      <c r="Q33" s="159">
        <f t="shared" si="2"/>
        <v>0</v>
      </c>
      <c r="R33" s="159">
        <v>0</v>
      </c>
      <c r="S33" s="159">
        <v>0</v>
      </c>
      <c r="T33" s="159">
        <v>0</v>
      </c>
      <c r="U33" s="159"/>
      <c r="V33" s="159">
        <f t="shared" si="3"/>
        <v>0</v>
      </c>
      <c r="W33" s="159">
        <v>0</v>
      </c>
      <c r="X33" s="159">
        <v>0</v>
      </c>
      <c r="Y33" s="159">
        <v>0</v>
      </c>
      <c r="Z33" s="159"/>
      <c r="AA33" s="159">
        <f t="shared" si="4"/>
        <v>0</v>
      </c>
      <c r="AB33" s="158"/>
      <c r="AC33" s="158"/>
      <c r="AD33" s="158"/>
      <c r="AE33" s="159"/>
      <c r="AF33" s="159">
        <f t="shared" si="5"/>
        <v>0</v>
      </c>
      <c r="AG33" s="158"/>
      <c r="AH33" s="158"/>
      <c r="AI33" s="158"/>
      <c r="AJ33" s="158"/>
      <c r="AK33" s="157">
        <f t="shared" si="6"/>
        <v>0</v>
      </c>
      <c r="AL33" s="152">
        <v>1</v>
      </c>
      <c r="AM33" s="152"/>
      <c r="AN33" s="152"/>
      <c r="AO33" s="155"/>
      <c r="AP33" s="157">
        <f t="shared" si="7"/>
        <v>1</v>
      </c>
      <c r="AQ33" s="152"/>
      <c r="AR33" s="152">
        <v>4</v>
      </c>
      <c r="AS33" s="152"/>
      <c r="AT33" s="155"/>
      <c r="AU33" s="157">
        <f t="shared" si="8"/>
        <v>4</v>
      </c>
      <c r="AV33" s="152"/>
      <c r="AW33" s="152"/>
      <c r="AX33" s="152"/>
      <c r="AY33" s="155"/>
      <c r="AZ33" s="157">
        <f t="shared" si="9"/>
        <v>0</v>
      </c>
      <c r="BA33" s="152"/>
      <c r="BB33" s="152"/>
      <c r="BC33" s="152"/>
      <c r="BD33" s="155"/>
      <c r="BE33" s="157">
        <f t="shared" si="10"/>
        <v>0</v>
      </c>
      <c r="BF33" s="152"/>
      <c r="BG33" s="152"/>
      <c r="BH33" s="152"/>
      <c r="BI33" s="155"/>
      <c r="BJ33" s="157">
        <f t="shared" si="11"/>
        <v>0</v>
      </c>
      <c r="BK33" s="156">
        <f>ROUND(14/12*5,0)</f>
        <v>6</v>
      </c>
      <c r="BL33" s="155">
        <f t="shared" si="12"/>
        <v>5</v>
      </c>
      <c r="BM33" s="154">
        <f t="shared" si="13"/>
        <v>1</v>
      </c>
      <c r="BN33" s="156">
        <f>ROUND(10/12*5,0)</f>
        <v>4</v>
      </c>
      <c r="BO33" s="155">
        <f t="shared" si="14"/>
        <v>0</v>
      </c>
      <c r="BP33" s="154">
        <f t="shared" si="15"/>
        <v>4</v>
      </c>
      <c r="BQ33" s="153">
        <f t="shared" si="16"/>
        <v>0</v>
      </c>
      <c r="BR33" s="153"/>
      <c r="BS33" s="152">
        <f t="shared" si="17"/>
        <v>1</v>
      </c>
      <c r="BT33" s="152">
        <f t="shared" si="18"/>
        <v>4</v>
      </c>
      <c r="BU33" s="152">
        <f t="shared" si="19"/>
        <v>0</v>
      </c>
      <c r="BV33" s="152">
        <f t="shared" si="20"/>
        <v>0</v>
      </c>
      <c r="BX33" s="151"/>
    </row>
    <row r="34" spans="1:76" ht="15.6" x14ac:dyDescent="0.3">
      <c r="A34" s="162">
        <v>155</v>
      </c>
      <c r="B34" s="161" t="s">
        <v>199</v>
      </c>
      <c r="C34" s="159">
        <v>0</v>
      </c>
      <c r="D34" s="159">
        <v>0</v>
      </c>
      <c r="E34" s="159">
        <v>0</v>
      </c>
      <c r="F34" s="160"/>
      <c r="G34" s="159">
        <f t="shared" si="0"/>
        <v>0</v>
      </c>
      <c r="H34" s="159">
        <v>0</v>
      </c>
      <c r="I34" s="159">
        <v>0</v>
      </c>
      <c r="J34" s="159">
        <v>0</v>
      </c>
      <c r="K34" s="160"/>
      <c r="L34" s="159">
        <f t="shared" si="1"/>
        <v>0</v>
      </c>
      <c r="M34" s="159">
        <v>0</v>
      </c>
      <c r="N34" s="159">
        <v>0</v>
      </c>
      <c r="O34" s="159">
        <v>0</v>
      </c>
      <c r="P34" s="159"/>
      <c r="Q34" s="159">
        <f t="shared" si="2"/>
        <v>0</v>
      </c>
      <c r="R34" s="159">
        <v>0</v>
      </c>
      <c r="S34" s="159">
        <v>0</v>
      </c>
      <c r="T34" s="159">
        <v>0</v>
      </c>
      <c r="U34" s="159"/>
      <c r="V34" s="159">
        <f t="shared" si="3"/>
        <v>0</v>
      </c>
      <c r="W34" s="159">
        <v>0</v>
      </c>
      <c r="X34" s="159">
        <v>0</v>
      </c>
      <c r="Y34" s="159">
        <v>0</v>
      </c>
      <c r="Z34" s="159"/>
      <c r="AA34" s="159">
        <f t="shared" si="4"/>
        <v>0</v>
      </c>
      <c r="AB34" s="158"/>
      <c r="AC34" s="158"/>
      <c r="AD34" s="158"/>
      <c r="AE34" s="159"/>
      <c r="AF34" s="159">
        <f t="shared" si="5"/>
        <v>0</v>
      </c>
      <c r="AG34" s="158"/>
      <c r="AH34" s="158"/>
      <c r="AI34" s="158"/>
      <c r="AJ34" s="158"/>
      <c r="AK34" s="157">
        <f t="shared" si="6"/>
        <v>0</v>
      </c>
      <c r="AL34" s="152">
        <v>2</v>
      </c>
      <c r="AM34" s="152"/>
      <c r="AN34" s="152"/>
      <c r="AO34" s="155">
        <v>7</v>
      </c>
      <c r="AP34" s="157">
        <f t="shared" si="7"/>
        <v>9</v>
      </c>
      <c r="AQ34" s="152"/>
      <c r="AR34" s="152"/>
      <c r="AS34" s="152"/>
      <c r="AT34" s="155"/>
      <c r="AU34" s="157">
        <f t="shared" si="8"/>
        <v>0</v>
      </c>
      <c r="AV34" s="152"/>
      <c r="AW34" s="152"/>
      <c r="AX34" s="152"/>
      <c r="AY34" s="155"/>
      <c r="AZ34" s="157">
        <f t="shared" si="9"/>
        <v>0</v>
      </c>
      <c r="BA34" s="152"/>
      <c r="BB34" s="152"/>
      <c r="BC34" s="152"/>
      <c r="BD34" s="155"/>
      <c r="BE34" s="157">
        <f t="shared" si="10"/>
        <v>0</v>
      </c>
      <c r="BF34" s="152"/>
      <c r="BG34" s="152"/>
      <c r="BH34" s="152"/>
      <c r="BI34" s="155"/>
      <c r="BJ34" s="157">
        <f t="shared" si="11"/>
        <v>0</v>
      </c>
      <c r="BK34" s="156">
        <f>ROUND(14/12*5,0)</f>
        <v>6</v>
      </c>
      <c r="BL34" s="155">
        <f t="shared" si="12"/>
        <v>2</v>
      </c>
      <c r="BM34" s="154">
        <f t="shared" si="13"/>
        <v>4</v>
      </c>
      <c r="BN34" s="156">
        <f>ROUND(10/12*5,0)</f>
        <v>4</v>
      </c>
      <c r="BO34" s="155">
        <f t="shared" si="14"/>
        <v>0</v>
      </c>
      <c r="BP34" s="154">
        <f t="shared" si="15"/>
        <v>4</v>
      </c>
      <c r="BQ34" s="153">
        <f t="shared" si="16"/>
        <v>7</v>
      </c>
      <c r="BR34" s="153"/>
      <c r="BS34" s="152">
        <f t="shared" si="17"/>
        <v>2</v>
      </c>
      <c r="BT34" s="152">
        <f t="shared" si="18"/>
        <v>0</v>
      </c>
      <c r="BU34" s="152">
        <f t="shared" si="19"/>
        <v>0</v>
      </c>
      <c r="BV34" s="152">
        <f t="shared" si="20"/>
        <v>7</v>
      </c>
      <c r="BX34" s="151"/>
    </row>
    <row r="35" spans="1:76" ht="15.6" x14ac:dyDescent="0.3">
      <c r="A35" s="162">
        <v>157</v>
      </c>
      <c r="B35" s="161" t="s">
        <v>202</v>
      </c>
      <c r="C35" s="159">
        <v>0</v>
      </c>
      <c r="D35" s="159">
        <v>0</v>
      </c>
      <c r="E35" s="159">
        <v>0</v>
      </c>
      <c r="F35" s="159"/>
      <c r="G35" s="159">
        <f t="shared" si="0"/>
        <v>0</v>
      </c>
      <c r="H35" s="159">
        <v>0</v>
      </c>
      <c r="I35" s="159">
        <v>0</v>
      </c>
      <c r="J35" s="159">
        <v>0</v>
      </c>
      <c r="K35" s="159"/>
      <c r="L35" s="159">
        <f t="shared" si="1"/>
        <v>0</v>
      </c>
      <c r="M35" s="159">
        <v>0</v>
      </c>
      <c r="N35" s="159">
        <v>0</v>
      </c>
      <c r="O35" s="159">
        <v>0</v>
      </c>
      <c r="P35" s="159"/>
      <c r="Q35" s="159">
        <f t="shared" si="2"/>
        <v>0</v>
      </c>
      <c r="R35" s="159">
        <v>0</v>
      </c>
      <c r="S35" s="159">
        <v>0</v>
      </c>
      <c r="T35" s="159">
        <v>0</v>
      </c>
      <c r="U35" s="159"/>
      <c r="V35" s="159">
        <f t="shared" si="3"/>
        <v>0</v>
      </c>
      <c r="W35" s="159">
        <v>0</v>
      </c>
      <c r="X35" s="159">
        <v>0</v>
      </c>
      <c r="Y35" s="159">
        <v>0</v>
      </c>
      <c r="Z35" s="159"/>
      <c r="AA35" s="159">
        <f t="shared" si="4"/>
        <v>0</v>
      </c>
      <c r="AB35" s="159"/>
      <c r="AC35" s="159"/>
      <c r="AD35" s="159"/>
      <c r="AE35" s="159"/>
      <c r="AF35" s="159">
        <f t="shared" si="5"/>
        <v>0</v>
      </c>
      <c r="AG35" s="159"/>
      <c r="AH35" s="159"/>
      <c r="AI35" s="158"/>
      <c r="AJ35" s="158"/>
      <c r="AK35" s="157">
        <f t="shared" si="6"/>
        <v>0</v>
      </c>
      <c r="AL35" s="155"/>
      <c r="AM35" s="155"/>
      <c r="AN35" s="155"/>
      <c r="AO35" s="155"/>
      <c r="AP35" s="157">
        <f t="shared" si="7"/>
        <v>0</v>
      </c>
      <c r="AQ35" s="152"/>
      <c r="AR35" s="152"/>
      <c r="AS35" s="152"/>
      <c r="AT35" s="155"/>
      <c r="AU35" s="157">
        <f t="shared" si="8"/>
        <v>0</v>
      </c>
      <c r="AV35" s="152"/>
      <c r="AW35" s="152"/>
      <c r="AX35" s="152"/>
      <c r="AY35" s="155"/>
      <c r="AZ35" s="157">
        <f t="shared" si="9"/>
        <v>0</v>
      </c>
      <c r="BA35" s="152"/>
      <c r="BB35" s="152"/>
      <c r="BC35" s="152"/>
      <c r="BD35" s="155"/>
      <c r="BE35" s="157">
        <f t="shared" si="10"/>
        <v>0</v>
      </c>
      <c r="BF35" s="152"/>
      <c r="BG35" s="152"/>
      <c r="BH35" s="152"/>
      <c r="BI35" s="155"/>
      <c r="BJ35" s="157">
        <f t="shared" si="11"/>
        <v>0</v>
      </c>
      <c r="BK35" s="156">
        <f>ROUND(14/12*5,0)</f>
        <v>6</v>
      </c>
      <c r="BL35" s="155">
        <f t="shared" si="12"/>
        <v>0</v>
      </c>
      <c r="BM35" s="154">
        <f t="shared" si="13"/>
        <v>6</v>
      </c>
      <c r="BN35" s="156">
        <f>ROUND(10/12*5,0)</f>
        <v>4</v>
      </c>
      <c r="BO35" s="155">
        <f t="shared" si="14"/>
        <v>0</v>
      </c>
      <c r="BP35" s="154">
        <f t="shared" si="15"/>
        <v>4</v>
      </c>
      <c r="BQ35" s="153">
        <f t="shared" si="16"/>
        <v>0</v>
      </c>
      <c r="BR35" s="153"/>
      <c r="BS35" s="152">
        <f t="shared" si="17"/>
        <v>0</v>
      </c>
      <c r="BT35" s="152">
        <f t="shared" si="18"/>
        <v>0</v>
      </c>
      <c r="BU35" s="152">
        <f t="shared" si="19"/>
        <v>0</v>
      </c>
      <c r="BV35" s="152">
        <f t="shared" si="20"/>
        <v>0</v>
      </c>
      <c r="BX35" s="151"/>
    </row>
    <row r="36" spans="1:76" ht="15.6" x14ac:dyDescent="0.3">
      <c r="A36" s="170">
        <v>159</v>
      </c>
      <c r="B36" s="171" t="s">
        <v>203</v>
      </c>
      <c r="C36" s="159">
        <v>0</v>
      </c>
      <c r="D36" s="159">
        <v>0</v>
      </c>
      <c r="E36" s="159">
        <v>0</v>
      </c>
      <c r="F36" s="160"/>
      <c r="G36" s="159">
        <f t="shared" si="0"/>
        <v>0</v>
      </c>
      <c r="H36" s="159">
        <v>0</v>
      </c>
      <c r="I36" s="159">
        <v>0</v>
      </c>
      <c r="J36" s="159">
        <v>0</v>
      </c>
      <c r="K36" s="160"/>
      <c r="L36" s="159">
        <f t="shared" si="1"/>
        <v>0</v>
      </c>
      <c r="M36" s="159">
        <v>0</v>
      </c>
      <c r="N36" s="159">
        <v>0</v>
      </c>
      <c r="O36" s="159">
        <v>0</v>
      </c>
      <c r="P36" s="159"/>
      <c r="Q36" s="159">
        <f t="shared" si="2"/>
        <v>0</v>
      </c>
      <c r="R36" s="159">
        <v>0</v>
      </c>
      <c r="S36" s="159">
        <v>0</v>
      </c>
      <c r="T36" s="159">
        <v>0</v>
      </c>
      <c r="U36" s="159"/>
      <c r="V36" s="159">
        <f t="shared" si="3"/>
        <v>0</v>
      </c>
      <c r="W36" s="159">
        <v>0</v>
      </c>
      <c r="X36" s="159">
        <v>0</v>
      </c>
      <c r="Y36" s="159">
        <v>0</v>
      </c>
      <c r="Z36" s="159"/>
      <c r="AA36" s="159">
        <f t="shared" si="4"/>
        <v>0</v>
      </c>
      <c r="AB36" s="158"/>
      <c r="AC36" s="158"/>
      <c r="AD36" s="158"/>
      <c r="AE36" s="159"/>
      <c r="AF36" s="159">
        <f t="shared" si="5"/>
        <v>0</v>
      </c>
      <c r="AG36" s="158"/>
      <c r="AH36" s="158"/>
      <c r="AI36" s="158"/>
      <c r="AJ36" s="158"/>
      <c r="AK36" s="157">
        <f t="shared" si="6"/>
        <v>0</v>
      </c>
      <c r="AL36" s="152"/>
      <c r="AM36" s="152"/>
      <c r="AN36" s="152"/>
      <c r="AO36" s="155">
        <v>1</v>
      </c>
      <c r="AP36" s="157">
        <f t="shared" si="7"/>
        <v>1</v>
      </c>
      <c r="AQ36" s="152"/>
      <c r="AR36" s="152"/>
      <c r="AS36" s="152"/>
      <c r="AT36" s="155"/>
      <c r="AU36" s="157">
        <f t="shared" si="8"/>
        <v>0</v>
      </c>
      <c r="AV36" s="152"/>
      <c r="AW36" s="152"/>
      <c r="AX36" s="152"/>
      <c r="AY36" s="155"/>
      <c r="AZ36" s="157">
        <f t="shared" si="9"/>
        <v>0</v>
      </c>
      <c r="BA36" s="152"/>
      <c r="BB36" s="152"/>
      <c r="BC36" s="152"/>
      <c r="BD36" s="155"/>
      <c r="BE36" s="157">
        <f t="shared" si="10"/>
        <v>0</v>
      </c>
      <c r="BF36" s="152"/>
      <c r="BG36" s="152"/>
      <c r="BH36" s="152"/>
      <c r="BI36" s="155"/>
      <c r="BJ36" s="157">
        <f t="shared" si="11"/>
        <v>0</v>
      </c>
      <c r="BK36" s="156">
        <f>ROUND(14/12*5,0)</f>
        <v>6</v>
      </c>
      <c r="BL36" s="155">
        <f t="shared" si="12"/>
        <v>0</v>
      </c>
      <c r="BM36" s="154">
        <f t="shared" si="13"/>
        <v>6</v>
      </c>
      <c r="BN36" s="156">
        <f>ROUND(10/12*5,0)</f>
        <v>4</v>
      </c>
      <c r="BO36" s="155">
        <f t="shared" si="14"/>
        <v>0</v>
      </c>
      <c r="BP36" s="154">
        <f t="shared" si="15"/>
        <v>4</v>
      </c>
      <c r="BQ36" s="153">
        <f t="shared" si="16"/>
        <v>1</v>
      </c>
      <c r="BR36" s="153"/>
      <c r="BS36" s="152">
        <f t="shared" si="17"/>
        <v>0</v>
      </c>
      <c r="BT36" s="152">
        <f t="shared" si="18"/>
        <v>0</v>
      </c>
      <c r="BU36" s="152">
        <f t="shared" si="19"/>
        <v>0</v>
      </c>
      <c r="BV36" s="152">
        <f t="shared" si="20"/>
        <v>1</v>
      </c>
      <c r="BX36" s="151"/>
    </row>
    <row r="37" spans="1:76" ht="15.6" x14ac:dyDescent="0.3">
      <c r="A37" s="170">
        <v>161</v>
      </c>
      <c r="B37" s="161" t="s">
        <v>327</v>
      </c>
      <c r="C37" s="159">
        <v>0</v>
      </c>
      <c r="D37" s="159">
        <v>0</v>
      </c>
      <c r="E37" s="159">
        <v>0</v>
      </c>
      <c r="F37" s="160"/>
      <c r="G37" s="159">
        <f t="shared" si="0"/>
        <v>0</v>
      </c>
      <c r="H37" s="159">
        <v>0</v>
      </c>
      <c r="I37" s="159">
        <v>0</v>
      </c>
      <c r="J37" s="159">
        <v>0</v>
      </c>
      <c r="K37" s="160"/>
      <c r="L37" s="159">
        <f t="shared" si="1"/>
        <v>0</v>
      </c>
      <c r="M37" s="159">
        <v>0</v>
      </c>
      <c r="N37" s="159">
        <v>0</v>
      </c>
      <c r="O37" s="159">
        <v>0</v>
      </c>
      <c r="P37" s="159"/>
      <c r="Q37" s="159">
        <f t="shared" si="2"/>
        <v>0</v>
      </c>
      <c r="R37" s="159">
        <v>0</v>
      </c>
      <c r="S37" s="159">
        <v>0</v>
      </c>
      <c r="T37" s="159">
        <v>0</v>
      </c>
      <c r="U37" s="159"/>
      <c r="V37" s="159">
        <f t="shared" si="3"/>
        <v>0</v>
      </c>
      <c r="W37" s="159">
        <v>0</v>
      </c>
      <c r="X37" s="159">
        <v>0</v>
      </c>
      <c r="Y37" s="159">
        <v>0</v>
      </c>
      <c r="Z37" s="159"/>
      <c r="AA37" s="159">
        <f t="shared" si="4"/>
        <v>0</v>
      </c>
      <c r="AB37" s="158"/>
      <c r="AC37" s="158"/>
      <c r="AD37" s="158"/>
      <c r="AE37" s="159"/>
      <c r="AF37" s="159">
        <f t="shared" si="5"/>
        <v>0</v>
      </c>
      <c r="AG37" s="158"/>
      <c r="AH37" s="158"/>
      <c r="AI37" s="158"/>
      <c r="AJ37" s="158"/>
      <c r="AK37" s="157">
        <f t="shared" si="6"/>
        <v>0</v>
      </c>
      <c r="AL37" s="152"/>
      <c r="AM37" s="152"/>
      <c r="AN37" s="152"/>
      <c r="AO37" s="155"/>
      <c r="AP37" s="157">
        <f t="shared" si="7"/>
        <v>0</v>
      </c>
      <c r="AQ37" s="152"/>
      <c r="AR37" s="152"/>
      <c r="AS37" s="152"/>
      <c r="AT37" s="155"/>
      <c r="AU37" s="157">
        <f t="shared" si="8"/>
        <v>0</v>
      </c>
      <c r="AV37" s="152"/>
      <c r="AW37" s="152"/>
      <c r="AX37" s="152"/>
      <c r="AY37" s="155"/>
      <c r="AZ37" s="157">
        <f t="shared" si="9"/>
        <v>0</v>
      </c>
      <c r="BA37" s="152"/>
      <c r="BB37" s="152"/>
      <c r="BC37" s="152"/>
      <c r="BD37" s="155"/>
      <c r="BE37" s="157">
        <f t="shared" si="10"/>
        <v>0</v>
      </c>
      <c r="BF37" s="152"/>
      <c r="BG37" s="152"/>
      <c r="BH37" s="152"/>
      <c r="BI37" s="155"/>
      <c r="BJ37" s="157">
        <f t="shared" si="11"/>
        <v>0</v>
      </c>
      <c r="BK37" s="156">
        <f>ROUND(14/12*5,0)</f>
        <v>6</v>
      </c>
      <c r="BL37" s="155">
        <f t="shared" si="12"/>
        <v>0</v>
      </c>
      <c r="BM37" s="154">
        <f t="shared" si="13"/>
        <v>6</v>
      </c>
      <c r="BN37" s="156">
        <f>ROUND(10/12*5,0)</f>
        <v>4</v>
      </c>
      <c r="BO37" s="155">
        <f t="shared" si="14"/>
        <v>0</v>
      </c>
      <c r="BP37" s="154">
        <f t="shared" si="15"/>
        <v>4</v>
      </c>
      <c r="BQ37" s="153">
        <f t="shared" si="16"/>
        <v>0</v>
      </c>
      <c r="BR37" s="153"/>
      <c r="BS37" s="152">
        <f t="shared" si="17"/>
        <v>0</v>
      </c>
      <c r="BT37" s="152">
        <f t="shared" si="18"/>
        <v>0</v>
      </c>
      <c r="BU37" s="152">
        <f t="shared" si="19"/>
        <v>0</v>
      </c>
      <c r="BV37" s="152">
        <f t="shared" si="20"/>
        <v>0</v>
      </c>
      <c r="BX37" s="151"/>
    </row>
    <row r="38" spans="1:76" ht="15.6" x14ac:dyDescent="0.3">
      <c r="A38" s="162">
        <v>171</v>
      </c>
      <c r="B38" s="161" t="s">
        <v>326</v>
      </c>
      <c r="C38" s="159">
        <v>0</v>
      </c>
      <c r="D38" s="159">
        <v>0</v>
      </c>
      <c r="E38" s="159">
        <v>0</v>
      </c>
      <c r="F38" s="160"/>
      <c r="G38" s="159">
        <f t="shared" si="0"/>
        <v>0</v>
      </c>
      <c r="H38" s="159">
        <v>0</v>
      </c>
      <c r="I38" s="159">
        <v>0</v>
      </c>
      <c r="J38" s="159">
        <v>0</v>
      </c>
      <c r="K38" s="160"/>
      <c r="L38" s="159">
        <f t="shared" si="1"/>
        <v>0</v>
      </c>
      <c r="M38" s="159">
        <v>0</v>
      </c>
      <c r="N38" s="159">
        <v>0</v>
      </c>
      <c r="O38" s="159">
        <v>0</v>
      </c>
      <c r="P38" s="159"/>
      <c r="Q38" s="159">
        <f t="shared" si="2"/>
        <v>0</v>
      </c>
      <c r="R38" s="159">
        <v>0</v>
      </c>
      <c r="S38" s="159">
        <v>0</v>
      </c>
      <c r="T38" s="159">
        <v>0</v>
      </c>
      <c r="U38" s="159"/>
      <c r="V38" s="159">
        <f t="shared" si="3"/>
        <v>0</v>
      </c>
      <c r="W38" s="159">
        <v>0</v>
      </c>
      <c r="X38" s="159">
        <v>0</v>
      </c>
      <c r="Y38" s="159">
        <v>0</v>
      </c>
      <c r="Z38" s="159"/>
      <c r="AA38" s="159">
        <f t="shared" si="4"/>
        <v>0</v>
      </c>
      <c r="AB38" s="158"/>
      <c r="AC38" s="158"/>
      <c r="AD38" s="158"/>
      <c r="AE38" s="159"/>
      <c r="AF38" s="159">
        <f t="shared" si="5"/>
        <v>0</v>
      </c>
      <c r="AG38" s="158"/>
      <c r="AH38" s="158"/>
      <c r="AI38" s="158"/>
      <c r="AJ38" s="158"/>
      <c r="AK38" s="157">
        <f t="shared" si="6"/>
        <v>0</v>
      </c>
      <c r="AL38" s="158"/>
      <c r="AM38" s="158"/>
      <c r="AN38" s="158"/>
      <c r="AO38" s="158"/>
      <c r="AP38" s="157">
        <f t="shared" si="7"/>
        <v>0</v>
      </c>
      <c r="AQ38" s="152"/>
      <c r="AR38" s="152">
        <v>1</v>
      </c>
      <c r="AS38" s="152"/>
      <c r="AT38" s="155"/>
      <c r="AU38" s="157">
        <f t="shared" si="8"/>
        <v>1</v>
      </c>
      <c r="AV38" s="152"/>
      <c r="AW38" s="152"/>
      <c r="AX38" s="152"/>
      <c r="AY38" s="155"/>
      <c r="AZ38" s="157">
        <f t="shared" si="9"/>
        <v>0</v>
      </c>
      <c r="BA38" s="152"/>
      <c r="BB38" s="152"/>
      <c r="BC38" s="152"/>
      <c r="BD38" s="155"/>
      <c r="BE38" s="157">
        <f t="shared" si="10"/>
        <v>0</v>
      </c>
      <c r="BF38" s="152"/>
      <c r="BG38" s="152"/>
      <c r="BH38" s="152"/>
      <c r="BI38" s="155"/>
      <c r="BJ38" s="157">
        <f t="shared" si="11"/>
        <v>0</v>
      </c>
      <c r="BK38" s="156">
        <f>ROUND(14/12*4,0)</f>
        <v>5</v>
      </c>
      <c r="BL38" s="155">
        <f t="shared" si="12"/>
        <v>1</v>
      </c>
      <c r="BM38" s="154">
        <f t="shared" si="13"/>
        <v>4</v>
      </c>
      <c r="BN38" s="156">
        <f>ROUND(10/12*4,0)</f>
        <v>3</v>
      </c>
      <c r="BO38" s="155">
        <f t="shared" si="14"/>
        <v>0</v>
      </c>
      <c r="BP38" s="154">
        <f t="shared" si="15"/>
        <v>3</v>
      </c>
      <c r="BQ38" s="153">
        <f t="shared" si="16"/>
        <v>0</v>
      </c>
      <c r="BR38" s="153"/>
      <c r="BS38" s="152">
        <f t="shared" si="17"/>
        <v>0</v>
      </c>
      <c r="BT38" s="152">
        <f t="shared" si="18"/>
        <v>1</v>
      </c>
      <c r="BU38" s="152">
        <f t="shared" si="19"/>
        <v>0</v>
      </c>
      <c r="BV38" s="152">
        <f t="shared" si="20"/>
        <v>0</v>
      </c>
      <c r="BX38" s="151"/>
    </row>
    <row r="39" spans="1:76" ht="15.6" x14ac:dyDescent="0.3">
      <c r="A39" s="162">
        <v>166</v>
      </c>
      <c r="B39" s="161" t="s">
        <v>325</v>
      </c>
      <c r="C39" s="159">
        <v>0</v>
      </c>
      <c r="D39" s="159">
        <v>0</v>
      </c>
      <c r="E39" s="159">
        <v>0</v>
      </c>
      <c r="F39" s="160"/>
      <c r="G39" s="159">
        <f t="shared" si="0"/>
        <v>0</v>
      </c>
      <c r="H39" s="159">
        <v>0</v>
      </c>
      <c r="I39" s="159">
        <v>0</v>
      </c>
      <c r="J39" s="159">
        <v>0</v>
      </c>
      <c r="K39" s="160"/>
      <c r="L39" s="159">
        <f t="shared" si="1"/>
        <v>0</v>
      </c>
      <c r="M39" s="159">
        <v>0</v>
      </c>
      <c r="N39" s="159">
        <v>0</v>
      </c>
      <c r="O39" s="159">
        <v>0</v>
      </c>
      <c r="P39" s="159"/>
      <c r="Q39" s="159">
        <f t="shared" si="2"/>
        <v>0</v>
      </c>
      <c r="R39" s="159">
        <v>0</v>
      </c>
      <c r="S39" s="159">
        <v>0</v>
      </c>
      <c r="T39" s="159">
        <v>0</v>
      </c>
      <c r="U39" s="159"/>
      <c r="V39" s="159">
        <f t="shared" si="3"/>
        <v>0</v>
      </c>
      <c r="W39" s="159">
        <v>0</v>
      </c>
      <c r="X39" s="159">
        <v>0</v>
      </c>
      <c r="Y39" s="159">
        <v>0</v>
      </c>
      <c r="Z39" s="159"/>
      <c r="AA39" s="159">
        <f t="shared" si="4"/>
        <v>0</v>
      </c>
      <c r="AB39" s="158"/>
      <c r="AC39" s="158"/>
      <c r="AD39" s="158"/>
      <c r="AE39" s="159"/>
      <c r="AF39" s="159">
        <f t="shared" si="5"/>
        <v>0</v>
      </c>
      <c r="AG39" s="158"/>
      <c r="AH39" s="158"/>
      <c r="AI39" s="158"/>
      <c r="AJ39" s="158"/>
      <c r="AK39" s="157">
        <f t="shared" si="6"/>
        <v>0</v>
      </c>
      <c r="AL39" s="158"/>
      <c r="AM39" s="158"/>
      <c r="AN39" s="158"/>
      <c r="AO39" s="158">
        <v>2</v>
      </c>
      <c r="AP39" s="157">
        <f t="shared" si="7"/>
        <v>2</v>
      </c>
      <c r="AQ39" s="152"/>
      <c r="AR39" s="152">
        <v>3</v>
      </c>
      <c r="AS39" s="152"/>
      <c r="AT39" s="155"/>
      <c r="AU39" s="157">
        <f t="shared" si="8"/>
        <v>3</v>
      </c>
      <c r="AV39" s="152"/>
      <c r="AW39" s="152"/>
      <c r="AX39" s="152"/>
      <c r="AY39" s="155"/>
      <c r="AZ39" s="157">
        <f t="shared" si="9"/>
        <v>0</v>
      </c>
      <c r="BA39" s="152"/>
      <c r="BB39" s="152"/>
      <c r="BC39" s="152"/>
      <c r="BD39" s="155"/>
      <c r="BE39" s="157">
        <f t="shared" si="10"/>
        <v>0</v>
      </c>
      <c r="BF39" s="152"/>
      <c r="BG39" s="152"/>
      <c r="BH39" s="152"/>
      <c r="BI39" s="155"/>
      <c r="BJ39" s="157">
        <f t="shared" si="11"/>
        <v>0</v>
      </c>
      <c r="BK39" s="156">
        <f>ROUND(14/12*4,0)</f>
        <v>5</v>
      </c>
      <c r="BL39" s="155">
        <f t="shared" si="12"/>
        <v>3</v>
      </c>
      <c r="BM39" s="154">
        <f t="shared" si="13"/>
        <v>2</v>
      </c>
      <c r="BN39" s="156">
        <f>ROUND(10/12*4,0)</f>
        <v>3</v>
      </c>
      <c r="BO39" s="155">
        <f t="shared" si="14"/>
        <v>0</v>
      </c>
      <c r="BP39" s="154">
        <f t="shared" si="15"/>
        <v>3</v>
      </c>
      <c r="BQ39" s="153">
        <f t="shared" si="16"/>
        <v>2</v>
      </c>
      <c r="BR39" s="153"/>
      <c r="BS39" s="152">
        <f t="shared" si="17"/>
        <v>0</v>
      </c>
      <c r="BT39" s="152">
        <f t="shared" si="18"/>
        <v>3</v>
      </c>
      <c r="BU39" s="152">
        <f t="shared" si="19"/>
        <v>0</v>
      </c>
      <c r="BV39" s="152">
        <f t="shared" si="20"/>
        <v>2</v>
      </c>
      <c r="BX39" s="151"/>
    </row>
    <row r="40" spans="1:76" ht="15.6" x14ac:dyDescent="0.3">
      <c r="A40" s="162">
        <v>162</v>
      </c>
      <c r="B40" s="161" t="s">
        <v>248</v>
      </c>
      <c r="C40" s="159">
        <v>0</v>
      </c>
      <c r="D40" s="159">
        <v>0</v>
      </c>
      <c r="E40" s="159">
        <v>0</v>
      </c>
      <c r="F40" s="160"/>
      <c r="G40" s="159">
        <f t="shared" si="0"/>
        <v>0</v>
      </c>
      <c r="H40" s="159">
        <v>0</v>
      </c>
      <c r="I40" s="159">
        <v>0</v>
      </c>
      <c r="J40" s="159">
        <v>0</v>
      </c>
      <c r="K40" s="160"/>
      <c r="L40" s="159">
        <f t="shared" si="1"/>
        <v>0</v>
      </c>
      <c r="M40" s="159">
        <v>0</v>
      </c>
      <c r="N40" s="159">
        <v>0</v>
      </c>
      <c r="O40" s="159">
        <v>0</v>
      </c>
      <c r="P40" s="159"/>
      <c r="Q40" s="159">
        <f t="shared" si="2"/>
        <v>0</v>
      </c>
      <c r="R40" s="159">
        <v>0</v>
      </c>
      <c r="S40" s="159">
        <v>0</v>
      </c>
      <c r="T40" s="159">
        <v>0</v>
      </c>
      <c r="U40" s="159"/>
      <c r="V40" s="159">
        <f t="shared" si="3"/>
        <v>0</v>
      </c>
      <c r="W40" s="159">
        <v>0</v>
      </c>
      <c r="X40" s="159">
        <v>0</v>
      </c>
      <c r="Y40" s="159">
        <v>0</v>
      </c>
      <c r="Z40" s="159"/>
      <c r="AA40" s="159">
        <f t="shared" si="4"/>
        <v>0</v>
      </c>
      <c r="AB40" s="158"/>
      <c r="AC40" s="158"/>
      <c r="AD40" s="158"/>
      <c r="AE40" s="159"/>
      <c r="AF40" s="159">
        <f t="shared" si="5"/>
        <v>0</v>
      </c>
      <c r="AG40" s="158"/>
      <c r="AH40" s="158"/>
      <c r="AI40" s="158"/>
      <c r="AJ40" s="158"/>
      <c r="AK40" s="157">
        <f t="shared" si="6"/>
        <v>0</v>
      </c>
      <c r="AL40" s="158"/>
      <c r="AM40" s="158"/>
      <c r="AN40" s="158"/>
      <c r="AO40" s="158">
        <v>3</v>
      </c>
      <c r="AP40" s="157">
        <f t="shared" si="7"/>
        <v>3</v>
      </c>
      <c r="AQ40" s="152"/>
      <c r="AR40" s="152"/>
      <c r="AS40" s="152"/>
      <c r="AT40" s="155"/>
      <c r="AU40" s="157">
        <f t="shared" si="8"/>
        <v>0</v>
      </c>
      <c r="AV40" s="152"/>
      <c r="AW40" s="152"/>
      <c r="AX40" s="152"/>
      <c r="AY40" s="155"/>
      <c r="AZ40" s="157">
        <f t="shared" si="9"/>
        <v>0</v>
      </c>
      <c r="BA40" s="152"/>
      <c r="BB40" s="152"/>
      <c r="BC40" s="152"/>
      <c r="BD40" s="155"/>
      <c r="BE40" s="157">
        <f t="shared" si="10"/>
        <v>0</v>
      </c>
      <c r="BF40" s="152"/>
      <c r="BG40" s="152"/>
      <c r="BH40" s="152"/>
      <c r="BI40" s="155"/>
      <c r="BJ40" s="157">
        <f t="shared" si="11"/>
        <v>0</v>
      </c>
      <c r="BK40" s="156">
        <f>ROUND(14/12*4,0)</f>
        <v>5</v>
      </c>
      <c r="BL40" s="155">
        <f t="shared" si="12"/>
        <v>0</v>
      </c>
      <c r="BM40" s="154">
        <f t="shared" si="13"/>
        <v>5</v>
      </c>
      <c r="BN40" s="156">
        <f>ROUND(10/12*4,0)</f>
        <v>3</v>
      </c>
      <c r="BO40" s="155">
        <f t="shared" si="14"/>
        <v>0</v>
      </c>
      <c r="BP40" s="154">
        <f t="shared" si="15"/>
        <v>3</v>
      </c>
      <c r="BQ40" s="153">
        <f t="shared" si="16"/>
        <v>3</v>
      </c>
      <c r="BR40" s="153"/>
      <c r="BS40" s="152">
        <f t="shared" si="17"/>
        <v>0</v>
      </c>
      <c r="BT40" s="152">
        <f t="shared" si="18"/>
        <v>0</v>
      </c>
      <c r="BU40" s="152">
        <f t="shared" si="19"/>
        <v>0</v>
      </c>
      <c r="BV40" s="152">
        <f t="shared" si="20"/>
        <v>3</v>
      </c>
      <c r="BX40" s="151"/>
    </row>
    <row r="41" spans="1:76" ht="15.6" x14ac:dyDescent="0.3">
      <c r="A41" s="162">
        <v>175</v>
      </c>
      <c r="B41" s="161" t="s">
        <v>324</v>
      </c>
      <c r="C41" s="159">
        <v>0</v>
      </c>
      <c r="D41" s="159">
        <v>0</v>
      </c>
      <c r="E41" s="159">
        <v>0</v>
      </c>
      <c r="F41" s="160"/>
      <c r="G41" s="159">
        <f t="shared" si="0"/>
        <v>0</v>
      </c>
      <c r="H41" s="159">
        <v>0</v>
      </c>
      <c r="I41" s="159">
        <v>0</v>
      </c>
      <c r="J41" s="159">
        <v>0</v>
      </c>
      <c r="K41" s="160"/>
      <c r="L41" s="159">
        <f t="shared" si="1"/>
        <v>0</v>
      </c>
      <c r="M41" s="159">
        <v>0</v>
      </c>
      <c r="N41" s="159">
        <v>0</v>
      </c>
      <c r="O41" s="159">
        <v>0</v>
      </c>
      <c r="P41" s="159"/>
      <c r="Q41" s="159">
        <f t="shared" si="2"/>
        <v>0</v>
      </c>
      <c r="R41" s="159">
        <v>0</v>
      </c>
      <c r="S41" s="159">
        <v>0</v>
      </c>
      <c r="T41" s="159">
        <v>0</v>
      </c>
      <c r="U41" s="159"/>
      <c r="V41" s="159">
        <f t="shared" si="3"/>
        <v>0</v>
      </c>
      <c r="W41" s="159">
        <v>0</v>
      </c>
      <c r="X41" s="159">
        <v>0</v>
      </c>
      <c r="Y41" s="159">
        <v>0</v>
      </c>
      <c r="Z41" s="159"/>
      <c r="AA41" s="159">
        <f t="shared" si="4"/>
        <v>0</v>
      </c>
      <c r="AB41" s="158"/>
      <c r="AC41" s="158"/>
      <c r="AD41" s="158"/>
      <c r="AE41" s="159"/>
      <c r="AF41" s="159">
        <f t="shared" si="5"/>
        <v>0</v>
      </c>
      <c r="AG41" s="158"/>
      <c r="AH41" s="158"/>
      <c r="AI41" s="158"/>
      <c r="AJ41" s="158"/>
      <c r="AK41" s="157">
        <f t="shared" si="6"/>
        <v>0</v>
      </c>
      <c r="AL41" s="158"/>
      <c r="AM41" s="158"/>
      <c r="AN41" s="158"/>
      <c r="AO41" s="158"/>
      <c r="AP41" s="157">
        <f t="shared" si="7"/>
        <v>0</v>
      </c>
      <c r="AQ41" s="158"/>
      <c r="AR41" s="158"/>
      <c r="AS41" s="158"/>
      <c r="AT41" s="158">
        <v>1</v>
      </c>
      <c r="AU41" s="157">
        <f t="shared" si="8"/>
        <v>0</v>
      </c>
      <c r="AV41" s="158"/>
      <c r="AW41" s="158"/>
      <c r="AX41" s="158"/>
      <c r="AY41" s="158"/>
      <c r="AZ41" s="157">
        <f t="shared" si="9"/>
        <v>0</v>
      </c>
      <c r="BA41" s="152"/>
      <c r="BB41" s="152"/>
      <c r="BC41" s="152"/>
      <c r="BD41" s="155"/>
      <c r="BE41" s="157">
        <f t="shared" si="10"/>
        <v>0</v>
      </c>
      <c r="BF41" s="152"/>
      <c r="BG41" s="152"/>
      <c r="BH41" s="152"/>
      <c r="BI41" s="155"/>
      <c r="BJ41" s="157">
        <f t="shared" si="11"/>
        <v>0</v>
      </c>
      <c r="BK41" s="156">
        <v>0</v>
      </c>
      <c r="BL41" s="155">
        <f t="shared" si="12"/>
        <v>0</v>
      </c>
      <c r="BM41" s="154">
        <f t="shared" si="13"/>
        <v>0</v>
      </c>
      <c r="BN41" s="155"/>
      <c r="BO41" s="155">
        <f t="shared" si="14"/>
        <v>0</v>
      </c>
      <c r="BP41" s="154">
        <f t="shared" si="15"/>
        <v>0</v>
      </c>
      <c r="BQ41" s="153">
        <f t="shared" si="16"/>
        <v>1</v>
      </c>
      <c r="BR41" s="153"/>
      <c r="BS41" s="152">
        <f t="shared" si="17"/>
        <v>0</v>
      </c>
      <c r="BT41" s="152">
        <f t="shared" si="18"/>
        <v>0</v>
      </c>
      <c r="BU41" s="152">
        <f t="shared" si="19"/>
        <v>0</v>
      </c>
      <c r="BV41" s="152">
        <f t="shared" si="20"/>
        <v>1</v>
      </c>
      <c r="BX41" s="151"/>
    </row>
    <row r="42" spans="1:76" ht="15.6" x14ac:dyDescent="0.3">
      <c r="A42" s="162">
        <v>111</v>
      </c>
      <c r="B42" s="161" t="s">
        <v>296</v>
      </c>
      <c r="C42" s="159">
        <v>0</v>
      </c>
      <c r="D42" s="159">
        <v>0</v>
      </c>
      <c r="E42" s="159">
        <v>0</v>
      </c>
      <c r="F42" s="160"/>
      <c r="G42" s="159">
        <f t="shared" si="0"/>
        <v>0</v>
      </c>
      <c r="H42" s="159">
        <v>0</v>
      </c>
      <c r="I42" s="159">
        <v>0</v>
      </c>
      <c r="J42" s="159">
        <v>0</v>
      </c>
      <c r="K42" s="160"/>
      <c r="L42" s="159">
        <f t="shared" si="1"/>
        <v>0</v>
      </c>
      <c r="M42" s="159">
        <v>0</v>
      </c>
      <c r="N42" s="159">
        <v>0</v>
      </c>
      <c r="O42" s="159">
        <v>0</v>
      </c>
      <c r="P42" s="159"/>
      <c r="Q42" s="159">
        <f t="shared" si="2"/>
        <v>0</v>
      </c>
      <c r="R42" s="159">
        <v>0</v>
      </c>
      <c r="S42" s="159">
        <v>0</v>
      </c>
      <c r="T42" s="159">
        <v>0</v>
      </c>
      <c r="U42" s="159"/>
      <c r="V42" s="159">
        <f t="shared" si="3"/>
        <v>0</v>
      </c>
      <c r="W42" s="159">
        <v>0</v>
      </c>
      <c r="X42" s="159">
        <v>0</v>
      </c>
      <c r="Y42" s="159">
        <v>0</v>
      </c>
      <c r="Z42" s="159"/>
      <c r="AA42" s="159">
        <f t="shared" si="4"/>
        <v>0</v>
      </c>
      <c r="AB42" s="158"/>
      <c r="AC42" s="158"/>
      <c r="AD42" s="158"/>
      <c r="AE42" s="159"/>
      <c r="AF42" s="159">
        <f t="shared" si="5"/>
        <v>0</v>
      </c>
      <c r="AG42" s="158"/>
      <c r="AH42" s="158"/>
      <c r="AI42" s="158"/>
      <c r="AJ42" s="158"/>
      <c r="AK42" s="157">
        <f t="shared" si="6"/>
        <v>0</v>
      </c>
      <c r="AL42" s="158"/>
      <c r="AM42" s="158"/>
      <c r="AN42" s="158"/>
      <c r="AO42" s="158"/>
      <c r="AP42" s="157">
        <f t="shared" si="7"/>
        <v>0</v>
      </c>
      <c r="AQ42" s="158"/>
      <c r="AR42" s="158"/>
      <c r="AS42" s="158"/>
      <c r="AT42" s="158"/>
      <c r="AU42" s="157">
        <f t="shared" si="8"/>
        <v>0</v>
      </c>
      <c r="AV42" s="158"/>
      <c r="AW42" s="158"/>
      <c r="AX42" s="158"/>
      <c r="AY42" s="158"/>
      <c r="AZ42" s="157">
        <f t="shared" si="9"/>
        <v>0</v>
      </c>
      <c r="BA42" s="152"/>
      <c r="BB42" s="152"/>
      <c r="BC42" s="152"/>
      <c r="BD42" s="155"/>
      <c r="BE42" s="157">
        <f t="shared" si="10"/>
        <v>0</v>
      </c>
      <c r="BF42" s="152"/>
      <c r="BG42" s="152"/>
      <c r="BH42" s="152"/>
      <c r="BI42" s="155"/>
      <c r="BJ42" s="157">
        <f t="shared" si="11"/>
        <v>0</v>
      </c>
      <c r="BK42" s="156">
        <v>0</v>
      </c>
      <c r="BL42" s="155">
        <f t="shared" si="12"/>
        <v>0</v>
      </c>
      <c r="BM42" s="154">
        <f t="shared" si="13"/>
        <v>0</v>
      </c>
      <c r="BN42" s="155"/>
      <c r="BO42" s="155">
        <f t="shared" si="14"/>
        <v>0</v>
      </c>
      <c r="BP42" s="154">
        <f t="shared" si="15"/>
        <v>0</v>
      </c>
      <c r="BQ42" s="153">
        <f t="shared" si="16"/>
        <v>0</v>
      </c>
      <c r="BR42" s="153"/>
      <c r="BS42" s="152">
        <f t="shared" si="17"/>
        <v>0</v>
      </c>
      <c r="BT42" s="152">
        <f t="shared" si="18"/>
        <v>0</v>
      </c>
      <c r="BU42" s="152">
        <f t="shared" si="19"/>
        <v>0</v>
      </c>
      <c r="BV42" s="152">
        <f t="shared" si="20"/>
        <v>0</v>
      </c>
      <c r="BX42" s="151"/>
    </row>
    <row r="43" spans="1:76" ht="15.6" x14ac:dyDescent="0.3">
      <c r="A43" s="162">
        <v>180</v>
      </c>
      <c r="B43" s="161" t="s">
        <v>276</v>
      </c>
      <c r="C43" s="159">
        <v>0</v>
      </c>
      <c r="D43" s="159">
        <v>0</v>
      </c>
      <c r="E43" s="159">
        <v>0</v>
      </c>
      <c r="F43" s="160"/>
      <c r="G43" s="159">
        <f t="shared" si="0"/>
        <v>0</v>
      </c>
      <c r="H43" s="159">
        <v>0</v>
      </c>
      <c r="I43" s="159">
        <v>0</v>
      </c>
      <c r="J43" s="159">
        <v>0</v>
      </c>
      <c r="K43" s="160"/>
      <c r="L43" s="159">
        <f t="shared" si="1"/>
        <v>0</v>
      </c>
      <c r="M43" s="159">
        <v>0</v>
      </c>
      <c r="N43" s="159">
        <v>0</v>
      </c>
      <c r="O43" s="159">
        <v>0</v>
      </c>
      <c r="P43" s="159"/>
      <c r="Q43" s="159">
        <f t="shared" si="2"/>
        <v>0</v>
      </c>
      <c r="R43" s="159">
        <v>0</v>
      </c>
      <c r="S43" s="159">
        <v>0</v>
      </c>
      <c r="T43" s="159">
        <v>0</v>
      </c>
      <c r="U43" s="159"/>
      <c r="V43" s="159">
        <f t="shared" si="3"/>
        <v>0</v>
      </c>
      <c r="W43" s="159">
        <v>0</v>
      </c>
      <c r="X43" s="159">
        <v>0</v>
      </c>
      <c r="Y43" s="159">
        <v>0</v>
      </c>
      <c r="Z43" s="159"/>
      <c r="AA43" s="159">
        <f t="shared" si="4"/>
        <v>0</v>
      </c>
      <c r="AB43" s="158"/>
      <c r="AC43" s="158"/>
      <c r="AD43" s="158"/>
      <c r="AE43" s="159"/>
      <c r="AF43" s="159">
        <f t="shared" si="5"/>
        <v>0</v>
      </c>
      <c r="AG43" s="158"/>
      <c r="AH43" s="158"/>
      <c r="AI43" s="158"/>
      <c r="AJ43" s="158"/>
      <c r="AK43" s="157">
        <f t="shared" si="6"/>
        <v>0</v>
      </c>
      <c r="AL43" s="158"/>
      <c r="AM43" s="158"/>
      <c r="AN43" s="158"/>
      <c r="AO43" s="158">
        <v>4</v>
      </c>
      <c r="AP43" s="157">
        <f t="shared" si="7"/>
        <v>4</v>
      </c>
      <c r="AQ43" s="158"/>
      <c r="AR43" s="158"/>
      <c r="AS43" s="158"/>
      <c r="AT43" s="158"/>
      <c r="AU43" s="157">
        <f t="shared" si="8"/>
        <v>0</v>
      </c>
      <c r="AV43" s="158"/>
      <c r="AW43" s="158"/>
      <c r="AX43" s="158"/>
      <c r="AY43" s="158"/>
      <c r="AZ43" s="157">
        <f t="shared" si="9"/>
        <v>0</v>
      </c>
      <c r="BA43" s="152"/>
      <c r="BB43" s="152"/>
      <c r="BC43" s="152"/>
      <c r="BD43" s="155"/>
      <c r="BE43" s="157">
        <f t="shared" si="10"/>
        <v>0</v>
      </c>
      <c r="BF43" s="152"/>
      <c r="BG43" s="152"/>
      <c r="BH43" s="152"/>
      <c r="BI43" s="155"/>
      <c r="BJ43" s="157">
        <f t="shared" si="11"/>
        <v>0</v>
      </c>
      <c r="BK43" s="156">
        <v>0</v>
      </c>
      <c r="BL43" s="155">
        <f t="shared" si="12"/>
        <v>0</v>
      </c>
      <c r="BM43" s="154">
        <f t="shared" si="13"/>
        <v>0</v>
      </c>
      <c r="BN43" s="155"/>
      <c r="BO43" s="155">
        <f t="shared" si="14"/>
        <v>0</v>
      </c>
      <c r="BP43" s="154">
        <f t="shared" si="15"/>
        <v>0</v>
      </c>
      <c r="BQ43" s="153">
        <f t="shared" si="16"/>
        <v>4</v>
      </c>
      <c r="BR43" s="153"/>
      <c r="BS43" s="152">
        <f t="shared" si="17"/>
        <v>0</v>
      </c>
      <c r="BT43" s="152">
        <f t="shared" si="18"/>
        <v>0</v>
      </c>
      <c r="BU43" s="152">
        <f t="shared" si="19"/>
        <v>0</v>
      </c>
      <c r="BV43" s="152">
        <f t="shared" si="20"/>
        <v>4</v>
      </c>
      <c r="BX43" s="151"/>
    </row>
    <row r="44" spans="1:76" ht="15.6" x14ac:dyDescent="0.3">
      <c r="A44" s="162">
        <v>140</v>
      </c>
      <c r="B44" s="161" t="s">
        <v>323</v>
      </c>
      <c r="C44" s="159">
        <v>0</v>
      </c>
      <c r="D44" s="159">
        <v>0</v>
      </c>
      <c r="E44" s="159">
        <v>0</v>
      </c>
      <c r="F44" s="160"/>
      <c r="G44" s="159">
        <f t="shared" si="0"/>
        <v>0</v>
      </c>
      <c r="H44" s="159">
        <v>0</v>
      </c>
      <c r="I44" s="159">
        <v>0</v>
      </c>
      <c r="J44" s="159">
        <v>0</v>
      </c>
      <c r="K44" s="160"/>
      <c r="L44" s="159">
        <f t="shared" si="1"/>
        <v>0</v>
      </c>
      <c r="M44" s="159">
        <v>0</v>
      </c>
      <c r="N44" s="159">
        <v>0</v>
      </c>
      <c r="O44" s="159">
        <v>0</v>
      </c>
      <c r="P44" s="159"/>
      <c r="Q44" s="159">
        <f t="shared" si="2"/>
        <v>0</v>
      </c>
      <c r="R44" s="159">
        <v>0</v>
      </c>
      <c r="S44" s="159">
        <v>0</v>
      </c>
      <c r="T44" s="159">
        <v>0</v>
      </c>
      <c r="U44" s="159"/>
      <c r="V44" s="159">
        <f t="shared" si="3"/>
        <v>0</v>
      </c>
      <c r="W44" s="159">
        <v>0</v>
      </c>
      <c r="X44" s="159">
        <v>0</v>
      </c>
      <c r="Y44" s="159">
        <v>0</v>
      </c>
      <c r="Z44" s="159"/>
      <c r="AA44" s="159">
        <f t="shared" si="4"/>
        <v>0</v>
      </c>
      <c r="AB44" s="158"/>
      <c r="AC44" s="158"/>
      <c r="AD44" s="158"/>
      <c r="AE44" s="159"/>
      <c r="AF44" s="159">
        <f t="shared" si="5"/>
        <v>0</v>
      </c>
      <c r="AG44" s="158"/>
      <c r="AH44" s="158"/>
      <c r="AI44" s="158"/>
      <c r="AJ44" s="158"/>
      <c r="AK44" s="157">
        <f t="shared" si="6"/>
        <v>0</v>
      </c>
      <c r="AL44" s="158"/>
      <c r="AM44" s="158"/>
      <c r="AN44" s="158"/>
      <c r="AO44" s="158"/>
      <c r="AP44" s="157">
        <f t="shared" si="7"/>
        <v>0</v>
      </c>
      <c r="AQ44" s="158"/>
      <c r="AR44" s="158"/>
      <c r="AS44" s="158"/>
      <c r="AT44" s="158">
        <v>1</v>
      </c>
      <c r="AU44" s="157">
        <f t="shared" si="8"/>
        <v>0</v>
      </c>
      <c r="AV44" s="158"/>
      <c r="AW44" s="158"/>
      <c r="AX44" s="158"/>
      <c r="AY44" s="158"/>
      <c r="AZ44" s="157">
        <f t="shared" si="9"/>
        <v>0</v>
      </c>
      <c r="BA44" s="158"/>
      <c r="BB44" s="158"/>
      <c r="BC44" s="158"/>
      <c r="BD44" s="158"/>
      <c r="BE44" s="157">
        <f t="shared" si="10"/>
        <v>0</v>
      </c>
      <c r="BF44" s="152"/>
      <c r="BG44" s="152"/>
      <c r="BH44" s="152"/>
      <c r="BI44" s="155"/>
      <c r="BJ44" s="157">
        <f t="shared" si="11"/>
        <v>0</v>
      </c>
      <c r="BK44" s="156">
        <v>0</v>
      </c>
      <c r="BL44" s="155">
        <f t="shared" si="12"/>
        <v>0</v>
      </c>
      <c r="BM44" s="154">
        <f t="shared" si="13"/>
        <v>0</v>
      </c>
      <c r="BN44" s="155"/>
      <c r="BO44" s="155">
        <f t="shared" si="14"/>
        <v>0</v>
      </c>
      <c r="BP44" s="154">
        <f t="shared" si="15"/>
        <v>0</v>
      </c>
      <c r="BQ44" s="153">
        <f t="shared" si="16"/>
        <v>1</v>
      </c>
      <c r="BR44" s="153"/>
      <c r="BS44" s="152">
        <f t="shared" si="17"/>
        <v>0</v>
      </c>
      <c r="BT44" s="152">
        <f t="shared" si="18"/>
        <v>0</v>
      </c>
      <c r="BU44" s="152">
        <f t="shared" si="19"/>
        <v>0</v>
      </c>
      <c r="BV44" s="152">
        <f t="shared" si="20"/>
        <v>1</v>
      </c>
      <c r="BX44" s="151"/>
    </row>
    <row r="45" spans="1:76" ht="15.6" x14ac:dyDescent="0.3">
      <c r="A45" s="169">
        <v>57</v>
      </c>
      <c r="B45" s="168" t="s">
        <v>322</v>
      </c>
      <c r="C45" s="165">
        <v>1</v>
      </c>
      <c r="D45" s="165">
        <v>0</v>
      </c>
      <c r="E45" s="165">
        <v>0</v>
      </c>
      <c r="F45" s="165"/>
      <c r="G45" s="165">
        <f t="shared" si="0"/>
        <v>1</v>
      </c>
      <c r="H45" s="165">
        <v>2</v>
      </c>
      <c r="I45" s="165">
        <v>0</v>
      </c>
      <c r="J45" s="165">
        <v>0</v>
      </c>
      <c r="K45" s="165"/>
      <c r="L45" s="165">
        <f t="shared" si="1"/>
        <v>2</v>
      </c>
      <c r="M45" s="165">
        <v>2</v>
      </c>
      <c r="N45" s="165">
        <v>0</v>
      </c>
      <c r="O45" s="165">
        <v>5</v>
      </c>
      <c r="P45" s="165"/>
      <c r="Q45" s="165">
        <f t="shared" si="2"/>
        <v>7</v>
      </c>
      <c r="R45" s="165">
        <v>0</v>
      </c>
      <c r="S45" s="165">
        <v>0</v>
      </c>
      <c r="T45" s="165">
        <v>1</v>
      </c>
      <c r="U45" s="165"/>
      <c r="V45" s="165">
        <f t="shared" si="3"/>
        <v>1</v>
      </c>
      <c r="W45" s="165">
        <v>0</v>
      </c>
      <c r="X45" s="165">
        <v>0</v>
      </c>
      <c r="Y45" s="165">
        <v>5</v>
      </c>
      <c r="Z45" s="165"/>
      <c r="AA45" s="165">
        <f t="shared" si="4"/>
        <v>5</v>
      </c>
      <c r="AB45" s="165">
        <v>2</v>
      </c>
      <c r="AC45" s="165">
        <v>0</v>
      </c>
      <c r="AD45" s="165">
        <v>0</v>
      </c>
      <c r="AE45" s="165"/>
      <c r="AF45" s="165">
        <f t="shared" si="5"/>
        <v>2</v>
      </c>
      <c r="AG45" s="165">
        <v>3</v>
      </c>
      <c r="AH45" s="165">
        <v>0</v>
      </c>
      <c r="AI45" s="165">
        <v>0</v>
      </c>
      <c r="AJ45" s="165"/>
      <c r="AK45" s="165">
        <f t="shared" si="6"/>
        <v>3</v>
      </c>
      <c r="AL45" s="165"/>
      <c r="AM45" s="165"/>
      <c r="AN45" s="165"/>
      <c r="AO45" s="165"/>
      <c r="AP45" s="165">
        <f t="shared" si="7"/>
        <v>0</v>
      </c>
      <c r="AQ45" s="165"/>
      <c r="AR45" s="165"/>
      <c r="AS45" s="165"/>
      <c r="AT45" s="165"/>
      <c r="AU45" s="157">
        <f t="shared" si="8"/>
        <v>0</v>
      </c>
      <c r="AV45" s="165"/>
      <c r="AW45" s="165"/>
      <c r="AX45" s="165"/>
      <c r="AY45" s="165"/>
      <c r="AZ45" s="157">
        <f t="shared" si="9"/>
        <v>0</v>
      </c>
      <c r="BA45" s="165"/>
      <c r="BB45" s="165"/>
      <c r="BC45" s="165"/>
      <c r="BD45" s="165"/>
      <c r="BE45" s="165">
        <f t="shared" si="10"/>
        <v>0</v>
      </c>
      <c r="BF45" s="165"/>
      <c r="BG45" s="165"/>
      <c r="BH45" s="165"/>
      <c r="BI45" s="165"/>
      <c r="BJ45" s="165">
        <f t="shared" si="11"/>
        <v>0</v>
      </c>
      <c r="BK45" s="167">
        <v>14</v>
      </c>
      <c r="BL45" s="165">
        <f t="shared" si="12"/>
        <v>10</v>
      </c>
      <c r="BM45" s="164">
        <f t="shared" si="13"/>
        <v>4</v>
      </c>
      <c r="BN45" s="166">
        <v>10</v>
      </c>
      <c r="BO45" s="165">
        <f t="shared" si="14"/>
        <v>11</v>
      </c>
      <c r="BP45" s="164">
        <f t="shared" si="15"/>
        <v>-1</v>
      </c>
      <c r="BQ45" s="163">
        <f t="shared" si="16"/>
        <v>0</v>
      </c>
      <c r="BR45" s="163"/>
      <c r="BS45" s="152">
        <f t="shared" si="17"/>
        <v>10</v>
      </c>
      <c r="BT45" s="152">
        <f t="shared" si="18"/>
        <v>0</v>
      </c>
      <c r="BU45" s="152">
        <f t="shared" si="19"/>
        <v>11</v>
      </c>
      <c r="BV45" s="152">
        <f t="shared" si="20"/>
        <v>0</v>
      </c>
      <c r="BX45" s="151"/>
    </row>
    <row r="46" spans="1:76" ht="15.6" x14ac:dyDescent="0.3">
      <c r="A46" s="162">
        <v>149</v>
      </c>
      <c r="B46" s="161" t="s">
        <v>280</v>
      </c>
      <c r="C46" s="159"/>
      <c r="D46" s="159"/>
      <c r="E46" s="159"/>
      <c r="F46" s="160"/>
      <c r="G46" s="159"/>
      <c r="H46" s="159"/>
      <c r="I46" s="159"/>
      <c r="J46" s="159"/>
      <c r="K46" s="160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Y46" s="159"/>
      <c r="Z46" s="159"/>
      <c r="AA46" s="159"/>
      <c r="AB46" s="158"/>
      <c r="AC46" s="158"/>
      <c r="AD46" s="158"/>
      <c r="AE46" s="159"/>
      <c r="AF46" s="159"/>
      <c r="AG46" s="158"/>
      <c r="AH46" s="158"/>
      <c r="AI46" s="158"/>
      <c r="AJ46" s="158"/>
      <c r="AK46" s="157"/>
      <c r="AL46" s="158"/>
      <c r="AM46" s="158"/>
      <c r="AN46" s="158"/>
      <c r="AO46" s="158"/>
      <c r="AP46" s="157"/>
      <c r="AQ46" s="152"/>
      <c r="AR46" s="152"/>
      <c r="AS46" s="152"/>
      <c r="AT46" s="152"/>
      <c r="AU46" s="157">
        <f t="shared" si="8"/>
        <v>0</v>
      </c>
      <c r="AV46" s="152"/>
      <c r="AW46" s="152"/>
      <c r="AX46" s="152"/>
      <c r="AY46" s="152"/>
      <c r="AZ46" s="157">
        <f t="shared" si="9"/>
        <v>0</v>
      </c>
      <c r="BA46" s="152"/>
      <c r="BB46" s="152"/>
      <c r="BC46" s="152"/>
      <c r="BD46" s="152"/>
      <c r="BE46" s="157">
        <f t="shared" si="10"/>
        <v>0</v>
      </c>
      <c r="BF46" s="152"/>
      <c r="BG46" s="152"/>
      <c r="BH46" s="152"/>
      <c r="BI46" s="155"/>
      <c r="BJ46" s="157">
        <f t="shared" si="11"/>
        <v>0</v>
      </c>
      <c r="BK46" s="156">
        <v>0</v>
      </c>
      <c r="BL46" s="155">
        <f t="shared" si="12"/>
        <v>0</v>
      </c>
      <c r="BM46" s="154">
        <f t="shared" si="13"/>
        <v>0</v>
      </c>
      <c r="BN46" s="155"/>
      <c r="BO46" s="155">
        <f t="shared" si="14"/>
        <v>0</v>
      </c>
      <c r="BP46" s="154">
        <f t="shared" si="15"/>
        <v>0</v>
      </c>
      <c r="BQ46" s="153">
        <f t="shared" si="16"/>
        <v>0</v>
      </c>
      <c r="BR46" s="153"/>
      <c r="BS46" s="152">
        <f t="shared" si="17"/>
        <v>0</v>
      </c>
      <c r="BT46" s="152">
        <f t="shared" si="18"/>
        <v>0</v>
      </c>
      <c r="BU46" s="152">
        <f t="shared" si="19"/>
        <v>0</v>
      </c>
      <c r="BV46" s="152">
        <f t="shared" si="20"/>
        <v>0</v>
      </c>
      <c r="BX46" s="151"/>
    </row>
    <row r="47" spans="1:76" ht="15.6" x14ac:dyDescent="0.3">
      <c r="A47" s="162">
        <v>151</v>
      </c>
      <c r="B47" s="161" t="s">
        <v>317</v>
      </c>
      <c r="C47" s="159"/>
      <c r="D47" s="159"/>
      <c r="E47" s="159"/>
      <c r="F47" s="160"/>
      <c r="G47" s="159"/>
      <c r="H47" s="159"/>
      <c r="I47" s="159"/>
      <c r="J47" s="159"/>
      <c r="K47" s="160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Y47" s="159"/>
      <c r="Z47" s="159"/>
      <c r="AA47" s="159"/>
      <c r="AB47" s="158"/>
      <c r="AC47" s="158"/>
      <c r="AD47" s="158"/>
      <c r="AE47" s="159"/>
      <c r="AF47" s="159"/>
      <c r="AG47" s="158"/>
      <c r="AH47" s="158"/>
      <c r="AI47" s="158"/>
      <c r="AJ47" s="158"/>
      <c r="AK47" s="157"/>
      <c r="AL47" s="158"/>
      <c r="AM47" s="158"/>
      <c r="AN47" s="158"/>
      <c r="AO47" s="158"/>
      <c r="AP47" s="157"/>
      <c r="AQ47" s="152"/>
      <c r="AR47" s="152"/>
      <c r="AS47" s="152"/>
      <c r="AT47" s="152"/>
      <c r="AU47" s="157">
        <f t="shared" si="8"/>
        <v>0</v>
      </c>
      <c r="AV47" s="152"/>
      <c r="AW47" s="152"/>
      <c r="AX47" s="152"/>
      <c r="AY47" s="152"/>
      <c r="AZ47" s="157">
        <f t="shared" si="9"/>
        <v>0</v>
      </c>
      <c r="BA47" s="152"/>
      <c r="BB47" s="152"/>
      <c r="BC47" s="152"/>
      <c r="BD47" s="152"/>
      <c r="BE47" s="157">
        <f t="shared" si="10"/>
        <v>0</v>
      </c>
      <c r="BF47" s="152"/>
      <c r="BG47" s="152"/>
      <c r="BH47" s="152"/>
      <c r="BI47" s="155"/>
      <c r="BJ47" s="157">
        <f t="shared" si="11"/>
        <v>0</v>
      </c>
      <c r="BK47" s="156">
        <v>0</v>
      </c>
      <c r="BL47" s="155">
        <f t="shared" si="12"/>
        <v>0</v>
      </c>
      <c r="BM47" s="154">
        <f t="shared" si="13"/>
        <v>0</v>
      </c>
      <c r="BN47" s="155"/>
      <c r="BO47" s="155">
        <f t="shared" si="14"/>
        <v>0</v>
      </c>
      <c r="BP47" s="154">
        <f t="shared" si="15"/>
        <v>0</v>
      </c>
      <c r="BQ47" s="153">
        <f t="shared" si="16"/>
        <v>0</v>
      </c>
      <c r="BR47" s="153"/>
      <c r="BS47" s="152">
        <f t="shared" si="17"/>
        <v>0</v>
      </c>
      <c r="BT47" s="152">
        <f t="shared" si="18"/>
        <v>0</v>
      </c>
      <c r="BU47" s="152">
        <f t="shared" si="19"/>
        <v>0</v>
      </c>
      <c r="BV47" s="152">
        <f t="shared" si="20"/>
        <v>0</v>
      </c>
      <c r="BX47" s="151"/>
    </row>
    <row r="48" spans="1:76" ht="15.6" x14ac:dyDescent="0.3">
      <c r="A48" s="162">
        <v>156</v>
      </c>
      <c r="B48" s="161" t="s">
        <v>279</v>
      </c>
      <c r="C48" s="159"/>
      <c r="D48" s="159"/>
      <c r="E48" s="159"/>
      <c r="F48" s="160"/>
      <c r="G48" s="159"/>
      <c r="H48" s="159"/>
      <c r="I48" s="159"/>
      <c r="J48" s="159"/>
      <c r="K48" s="160"/>
      <c r="L48" s="159"/>
      <c r="M48" s="159"/>
      <c r="N48" s="159"/>
      <c r="O48" s="159"/>
      <c r="P48" s="159"/>
      <c r="Q48" s="159"/>
      <c r="R48" s="159"/>
      <c r="S48" s="159"/>
      <c r="T48" s="159"/>
      <c r="U48" s="159"/>
      <c r="V48" s="159"/>
      <c r="W48" s="159"/>
      <c r="X48" s="159"/>
      <c r="Y48" s="159"/>
      <c r="Z48" s="159"/>
      <c r="AA48" s="159"/>
      <c r="AB48" s="158"/>
      <c r="AC48" s="158"/>
      <c r="AD48" s="158"/>
      <c r="AE48" s="159"/>
      <c r="AF48" s="159"/>
      <c r="AG48" s="158"/>
      <c r="AH48" s="158"/>
      <c r="AI48" s="158"/>
      <c r="AJ48" s="158"/>
      <c r="AK48" s="157"/>
      <c r="AL48" s="158"/>
      <c r="AM48" s="158"/>
      <c r="AN48" s="158"/>
      <c r="AO48" s="158"/>
      <c r="AP48" s="157"/>
      <c r="AQ48" s="152"/>
      <c r="AR48" s="152"/>
      <c r="AS48" s="152"/>
      <c r="AT48" s="152"/>
      <c r="AU48" s="157">
        <f t="shared" si="8"/>
        <v>0</v>
      </c>
      <c r="AV48" s="152"/>
      <c r="AW48" s="152"/>
      <c r="AX48" s="152"/>
      <c r="AY48" s="152"/>
      <c r="AZ48" s="157">
        <f t="shared" si="9"/>
        <v>0</v>
      </c>
      <c r="BA48" s="152"/>
      <c r="BB48" s="152"/>
      <c r="BC48" s="152"/>
      <c r="BD48" s="152"/>
      <c r="BE48" s="157">
        <f t="shared" si="10"/>
        <v>0</v>
      </c>
      <c r="BF48" s="152"/>
      <c r="BG48" s="152"/>
      <c r="BH48" s="152"/>
      <c r="BI48" s="155"/>
      <c r="BJ48" s="157">
        <f t="shared" si="11"/>
        <v>0</v>
      </c>
      <c r="BK48" s="156">
        <v>0</v>
      </c>
      <c r="BL48" s="155">
        <f t="shared" si="12"/>
        <v>0</v>
      </c>
      <c r="BM48" s="154">
        <f t="shared" si="13"/>
        <v>0</v>
      </c>
      <c r="BN48" s="155"/>
      <c r="BO48" s="155">
        <f t="shared" si="14"/>
        <v>0</v>
      </c>
      <c r="BP48" s="154">
        <f t="shared" si="15"/>
        <v>0</v>
      </c>
      <c r="BQ48" s="153">
        <f t="shared" si="16"/>
        <v>0</v>
      </c>
      <c r="BR48" s="153"/>
      <c r="BS48" s="152">
        <f t="shared" si="17"/>
        <v>0</v>
      </c>
      <c r="BT48" s="152">
        <f t="shared" si="18"/>
        <v>0</v>
      </c>
      <c r="BU48" s="152">
        <f t="shared" si="19"/>
        <v>0</v>
      </c>
      <c r="BV48" s="152">
        <f t="shared" si="20"/>
        <v>0</v>
      </c>
      <c r="BX48" s="151"/>
    </row>
    <row r="49" spans="1:76" ht="15.6" x14ac:dyDescent="0.3">
      <c r="A49" s="162"/>
      <c r="B49" s="161" t="s">
        <v>321</v>
      </c>
      <c r="C49" s="159"/>
      <c r="D49" s="159"/>
      <c r="E49" s="159"/>
      <c r="F49" s="160"/>
      <c r="G49" s="159"/>
      <c r="H49" s="159"/>
      <c r="I49" s="159"/>
      <c r="J49" s="159"/>
      <c r="K49" s="160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Y49" s="159"/>
      <c r="Z49" s="159"/>
      <c r="AA49" s="159"/>
      <c r="AB49" s="158"/>
      <c r="AC49" s="158"/>
      <c r="AD49" s="158"/>
      <c r="AE49" s="159"/>
      <c r="AF49" s="159"/>
      <c r="AG49" s="158"/>
      <c r="AH49" s="158"/>
      <c r="AI49" s="158"/>
      <c r="AJ49" s="158"/>
      <c r="AK49" s="157"/>
      <c r="AL49" s="158"/>
      <c r="AM49" s="158"/>
      <c r="AN49" s="158"/>
      <c r="AO49" s="158"/>
      <c r="AP49" s="157"/>
      <c r="AQ49" s="158"/>
      <c r="AR49" s="158"/>
      <c r="AS49" s="158"/>
      <c r="AT49" s="158"/>
      <c r="AU49" s="157">
        <f t="shared" si="8"/>
        <v>0</v>
      </c>
      <c r="AV49" s="158"/>
      <c r="AW49" s="158"/>
      <c r="AX49" s="158"/>
      <c r="AY49" s="158"/>
      <c r="AZ49" s="157">
        <f t="shared" si="9"/>
        <v>0</v>
      </c>
      <c r="BA49" s="158"/>
      <c r="BB49" s="158"/>
      <c r="BC49" s="158"/>
      <c r="BD49" s="158"/>
      <c r="BE49" s="157">
        <f t="shared" si="10"/>
        <v>0</v>
      </c>
      <c r="BF49" s="152"/>
      <c r="BG49" s="152"/>
      <c r="BH49" s="152"/>
      <c r="BI49" s="155"/>
      <c r="BJ49" s="157">
        <f t="shared" si="11"/>
        <v>0</v>
      </c>
      <c r="BK49" s="156">
        <v>0</v>
      </c>
      <c r="BL49" s="155">
        <f t="shared" si="12"/>
        <v>0</v>
      </c>
      <c r="BM49" s="154">
        <f t="shared" si="13"/>
        <v>0</v>
      </c>
      <c r="BN49" s="155"/>
      <c r="BO49" s="155">
        <f t="shared" si="14"/>
        <v>0</v>
      </c>
      <c r="BP49" s="154">
        <f t="shared" si="15"/>
        <v>0</v>
      </c>
      <c r="BQ49" s="153">
        <f t="shared" si="16"/>
        <v>0</v>
      </c>
      <c r="BR49" s="153"/>
      <c r="BS49" s="152">
        <f t="shared" si="17"/>
        <v>0</v>
      </c>
      <c r="BT49" s="152">
        <f t="shared" si="18"/>
        <v>0</v>
      </c>
      <c r="BU49" s="152">
        <f t="shared" si="19"/>
        <v>0</v>
      </c>
      <c r="BV49" s="152">
        <f t="shared" si="20"/>
        <v>0</v>
      </c>
      <c r="BX49" s="151"/>
    </row>
  </sheetData>
  <mergeCells count="16">
    <mergeCell ref="BK4:BQ5"/>
    <mergeCell ref="C5:G5"/>
    <mergeCell ref="H5:L5"/>
    <mergeCell ref="M5:Q5"/>
    <mergeCell ref="R5:V5"/>
    <mergeCell ref="W5:AA5"/>
    <mergeCell ref="BA5:BE5"/>
    <mergeCell ref="BF5:BJ5"/>
    <mergeCell ref="A4:A6"/>
    <mergeCell ref="B4:B6"/>
    <mergeCell ref="C4:BJ4"/>
    <mergeCell ref="AB5:AF5"/>
    <mergeCell ref="AG5:AK5"/>
    <mergeCell ref="AL5:AP5"/>
    <mergeCell ref="AQ5:AU5"/>
    <mergeCell ref="AV5:AZ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15</vt:i4>
      </vt:variant>
    </vt:vector>
  </HeadingPairs>
  <TitlesOfParts>
    <vt:vector size="29" baseType="lpstr">
      <vt:lpstr>Master</vt:lpstr>
      <vt:lpstr>Brandwise Allocation</vt:lpstr>
      <vt:lpstr>&lt;35K</vt:lpstr>
      <vt:lpstr>Payroll DES Apr24</vt:lpstr>
      <vt:lpstr>Payroll HW Apr24</vt:lpstr>
      <vt:lpstr>Payroll Support Apr24</vt:lpstr>
      <vt:lpstr>Summary Dept Wise</vt:lpstr>
      <vt:lpstr>Loan Status</vt:lpstr>
      <vt:lpstr>Journal Entry</vt:lpstr>
      <vt:lpstr>EntryFor QBUpload</vt:lpstr>
      <vt:lpstr>Salary Slip</vt:lpstr>
      <vt:lpstr>Salary Slip (Faisal)</vt:lpstr>
      <vt:lpstr>Attendance Summary</vt:lpstr>
      <vt:lpstr>Leaves Monitor</vt:lpstr>
      <vt:lpstr>'&lt;35K'!_Hlk139903454</vt:lpstr>
      <vt:lpstr>Master!_Hlk139903454</vt:lpstr>
      <vt:lpstr>'&lt;35K'!Print_Area</vt:lpstr>
      <vt:lpstr>'Journal Entry'!Print_Area</vt:lpstr>
      <vt:lpstr>Master!Print_Area</vt:lpstr>
      <vt:lpstr>'Payroll DES Apr24'!Print_Area</vt:lpstr>
      <vt:lpstr>'Payroll HW Apr24'!Print_Area</vt:lpstr>
      <vt:lpstr>'Payroll Support Apr24'!Print_Area</vt:lpstr>
      <vt:lpstr>'Salary Slip'!Print_Area</vt:lpstr>
      <vt:lpstr>'Salary Slip (Faisal)'!Print_Area</vt:lpstr>
      <vt:lpstr>'Summary Dept Wise'!Print_Area</vt:lpstr>
      <vt:lpstr>'&lt;35K'!Print_Titles</vt:lpstr>
      <vt:lpstr>'Journal Entry'!Print_Titles</vt:lpstr>
      <vt:lpstr>Master!Print_Titles</vt:lpstr>
      <vt:lpstr>'Payroll HW Apr24'!Print_Titles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Eddy</dc:creator>
  <cp:lastModifiedBy>bsdtechs</cp:lastModifiedBy>
  <cp:lastPrinted>2024-06-24T15:46:26Z</cp:lastPrinted>
  <dcterms:created xsi:type="dcterms:W3CDTF">2021-02-04T14:50:36Z</dcterms:created>
  <dcterms:modified xsi:type="dcterms:W3CDTF">2024-06-26T14:15:04Z</dcterms:modified>
</cp:coreProperties>
</file>